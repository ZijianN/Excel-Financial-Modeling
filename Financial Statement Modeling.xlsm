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3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01" codeName="{B6124F1A-AFFB-F854-7757-9A1D4C6FC43C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https://ryersonprod-my.sharepoint.com/personal/zijian_niu_ryerson_ca/Documents/Fall 2021/AFF514/Lecture 11/"/>
    </mc:Choice>
  </mc:AlternateContent>
  <xr:revisionPtr revIDLastSave="2652" documentId="13_ncr:1_{39B7F71B-AA8B-46F2-9508-30B46CE22914}" xr6:coauthVersionLast="47" xr6:coauthVersionMax="47" xr10:uidLastSave="{560FC2A4-0018-4A3B-8541-7F60E9795CEB}"/>
  <bookViews>
    <workbookView xWindow="-120" yWindow="-120" windowWidth="29040" windowHeight="15840" xr2:uid="{00000000-000D-0000-FFFF-FFFF00000000}"/>
  </bookViews>
  <sheets>
    <sheet name="Control Panel" sheetId="15" r:id="rId1"/>
    <sheet name="Sensitivity" sheetId="19" r:id="rId2"/>
    <sheet name="Scenario" sheetId="20" r:id="rId3"/>
    <sheet name="Assumptions" sheetId="14" r:id="rId4"/>
    <sheet name="Model" sheetId="10" r:id="rId5"/>
    <sheet name="FCFE" sheetId="16" state="hidden" r:id="rId6"/>
    <sheet name="FCFE - Valuation" sheetId="17" state="hidden" r:id="rId7"/>
    <sheet name="FCFF-Valuation" sheetId="18" r:id="rId8"/>
    <sheet name="Industry Ratios" sheetId="4" r:id="rId9"/>
    <sheet name="Common Size FS" sheetId="13" r:id="rId10"/>
    <sheet name="Ratios" sheetId="5" r:id="rId11"/>
  </sheets>
  <definedNames>
    <definedName name="ATurns">'Control Panel'!$G$6</definedName>
    <definedName name="BaseCaseInputs">Scenario!$A$7:$M$7</definedName>
    <definedName name="CapEx">'Control Panel'!$C$16</definedName>
    <definedName name="Case_Number">Scenario!$D$2</definedName>
    <definedName name="Cases">Scenario!$A$6:$A$31</definedName>
    <definedName name="DPO">'Control Panel'!$C$15</definedName>
    <definedName name="DSO">'Control Panel'!$C$13</definedName>
    <definedName name="E_Value">'Control Panel'!$K$6</definedName>
    <definedName name="EM">'Control Panel'!$G$7</definedName>
    <definedName name="EP_Value">'Control Panel'!$K$4</definedName>
    <definedName name="GPM">'Control Panel'!$C$10</definedName>
    <definedName name="GRs">'Control Panel'!$C$22</definedName>
    <definedName name="IT">'Control Panel'!$C$14</definedName>
    <definedName name="K">'Control Panel'!$G$9</definedName>
    <definedName name="NPM">'Control Panel'!$G$5</definedName>
    <definedName name="Outputs">Scenario!$A$40:$K$40</definedName>
    <definedName name="OutputTable">Scenario!$A$40:$K$100</definedName>
    <definedName name="payout">'Control Panel'!$C$11</definedName>
    <definedName name="ROE">'Control Panel'!$G$8</definedName>
    <definedName name="ROIC">'Control Panel'!$G$10</definedName>
    <definedName name="ROICs">'Control Panel'!$C$21</definedName>
    <definedName name="Scenario">Scenario!$C$34:$M$34</definedName>
    <definedName name="SharePrice">'Control Panel'!$K$8</definedName>
    <definedName name="solver_adj" localSheetId="3" hidden="1">Assumptions!$I$43:$M$43</definedName>
    <definedName name="solver_adj" localSheetId="4" hidden="1">Model!$I$179:$M$179</definedName>
    <definedName name="solver_cvg" localSheetId="3" hidden="1">0.0001</definedName>
    <definedName name="solver_cvg" localSheetId="4" hidden="1">0.0001</definedName>
    <definedName name="solver_drv" localSheetId="3" hidden="1">1</definedName>
    <definedName name="solver_drv" localSheetId="4" hidden="1">1</definedName>
    <definedName name="solver_eng" localSheetId="3" hidden="1">1</definedName>
    <definedName name="solver_eng" localSheetId="4" hidden="1">1</definedName>
    <definedName name="solver_est" localSheetId="3" hidden="1">1</definedName>
    <definedName name="solver_est" localSheetId="4" hidden="1">1</definedName>
    <definedName name="solver_itr" localSheetId="3" hidden="1">2147483647</definedName>
    <definedName name="solver_itr" localSheetId="4" hidden="1">2147483647</definedName>
    <definedName name="solver_lhs1" localSheetId="3" hidden="1">Assumptions!$I$59:$M$59</definedName>
    <definedName name="solver_lhs1" localSheetId="4" hidden="1">Assumptions!$I$59:$M$59</definedName>
    <definedName name="solver_mip" localSheetId="3" hidden="1">2147483647</definedName>
    <definedName name="solver_mip" localSheetId="4" hidden="1">2147483647</definedName>
    <definedName name="solver_mni" localSheetId="3" hidden="1">30</definedName>
    <definedName name="solver_mni" localSheetId="4" hidden="1">30</definedName>
    <definedName name="solver_mrt" localSheetId="3" hidden="1">0.075</definedName>
    <definedName name="solver_mrt" localSheetId="4" hidden="1">0.075</definedName>
    <definedName name="solver_msl" localSheetId="3" hidden="1">2</definedName>
    <definedName name="solver_msl" localSheetId="4" hidden="1">2</definedName>
    <definedName name="solver_neg" localSheetId="3" hidden="1">2</definedName>
    <definedName name="solver_neg" localSheetId="4" hidden="1">1</definedName>
    <definedName name="solver_nod" localSheetId="3" hidden="1">2147483647</definedName>
    <definedName name="solver_nod" localSheetId="4" hidden="1">2147483647</definedName>
    <definedName name="solver_num" localSheetId="3" hidden="1">1</definedName>
    <definedName name="solver_num" localSheetId="4" hidden="1">1</definedName>
    <definedName name="solver_nwt" localSheetId="3" hidden="1">1</definedName>
    <definedName name="solver_nwt" localSheetId="4" hidden="1">1</definedName>
    <definedName name="solver_pre" localSheetId="3" hidden="1">0.000001</definedName>
    <definedName name="solver_pre" localSheetId="4" hidden="1">0.000001</definedName>
    <definedName name="solver_rbv" localSheetId="3" hidden="1">1</definedName>
    <definedName name="solver_rbv" localSheetId="4" hidden="1">1</definedName>
    <definedName name="solver_rel1" localSheetId="3" hidden="1">2</definedName>
    <definedName name="solver_rel1" localSheetId="4" hidden="1">2</definedName>
    <definedName name="solver_rhs1" localSheetId="3" hidden="1">0</definedName>
    <definedName name="solver_rhs1" localSheetId="4" hidden="1">0</definedName>
    <definedName name="solver_rlx" localSheetId="3" hidden="1">2</definedName>
    <definedName name="solver_rlx" localSheetId="4" hidden="1">2</definedName>
    <definedName name="solver_rsd" localSheetId="3" hidden="1">0</definedName>
    <definedName name="solver_rsd" localSheetId="4" hidden="1">0</definedName>
    <definedName name="solver_scl" localSheetId="3" hidden="1">1</definedName>
    <definedName name="solver_scl" localSheetId="4" hidden="1">1</definedName>
    <definedName name="solver_sho" localSheetId="3" hidden="1">2</definedName>
    <definedName name="solver_sho" localSheetId="4" hidden="1">2</definedName>
    <definedName name="solver_ssz" localSheetId="3" hidden="1">100</definedName>
    <definedName name="solver_ssz" localSheetId="4" hidden="1">100</definedName>
    <definedName name="solver_tim" localSheetId="3" hidden="1">2147483647</definedName>
    <definedName name="solver_tim" localSheetId="4" hidden="1">2147483647</definedName>
    <definedName name="solver_tol" localSheetId="3" hidden="1">0.01</definedName>
    <definedName name="solver_tol" localSheetId="4" hidden="1">0.01</definedName>
    <definedName name="solver_typ" localSheetId="3" hidden="1">3</definedName>
    <definedName name="solver_typ" localSheetId="4" hidden="1">3</definedName>
    <definedName name="solver_val" localSheetId="3" hidden="1">0</definedName>
    <definedName name="solver_val" localSheetId="4" hidden="1">0</definedName>
    <definedName name="solver_ver" localSheetId="3" hidden="1">3</definedName>
    <definedName name="solver_ver" localSheetId="4" hidden="1">3</definedName>
    <definedName name="SVGf">'Control Panel'!$C$4</definedName>
    <definedName name="SVGr">'Control Panel'!$C$7</definedName>
    <definedName name="Table1">Sensitivity!$B$3:$K$14</definedName>
    <definedName name="Table2">Sensitivity!$B$17:$K$24</definedName>
    <definedName name="Table3">Sensitivity!$B$28:$C$128</definedName>
    <definedName name="WACCs">'Control Panel'!$C$20</definedName>
  </definedNames>
  <calcPr calcId="191029" calcMode="autoNoTable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0" i="15" l="1"/>
  <c r="C4" i="15"/>
  <c r="C16" i="15"/>
  <c r="C15" i="15"/>
  <c r="C14" i="15"/>
  <c r="C13" i="15"/>
  <c r="C11" i="15"/>
  <c r="C7" i="15"/>
  <c r="D81" i="10"/>
  <c r="D79" i="10"/>
  <c r="D66" i="18"/>
  <c r="D63" i="18"/>
  <c r="D49" i="18"/>
  <c r="D45" i="18"/>
  <c r="D30" i="18"/>
  <c r="D36" i="18" s="1"/>
  <c r="D60" i="5"/>
  <c r="D59" i="5"/>
  <c r="I290" i="10"/>
  <c r="E277" i="10"/>
  <c r="F277" i="10"/>
  <c r="D71" i="20"/>
  <c r="D72" i="20"/>
  <c r="D73" i="20"/>
  <c r="D74" i="20"/>
  <c r="D75" i="20"/>
  <c r="D76" i="20"/>
  <c r="D77" i="20"/>
  <c r="D78" i="20"/>
  <c r="D79" i="20"/>
  <c r="D80" i="20"/>
  <c r="D70" i="20"/>
  <c r="C71" i="20"/>
  <c r="C72" i="20"/>
  <c r="C73" i="20"/>
  <c r="C74" i="20"/>
  <c r="C75" i="20"/>
  <c r="C76" i="20"/>
  <c r="C77" i="20"/>
  <c r="E77" i="20" s="1"/>
  <c r="C78" i="20"/>
  <c r="C79" i="20"/>
  <c r="C80" i="20"/>
  <c r="C70" i="20"/>
  <c r="E78" i="20" l="1"/>
  <c r="E74" i="20"/>
  <c r="E72" i="20"/>
  <c r="E80" i="20"/>
  <c r="E76" i="20"/>
  <c r="E79" i="20"/>
  <c r="E75" i="20"/>
  <c r="E71" i="20"/>
  <c r="E73" i="20"/>
  <c r="C7" i="18"/>
  <c r="K69" i="20" l="1"/>
  <c r="J69" i="20"/>
  <c r="I67" i="20"/>
  <c r="B34" i="20"/>
  <c r="D8" i="20"/>
  <c r="E8" i="20"/>
  <c r="F8" i="20"/>
  <c r="G8" i="20"/>
  <c r="H8" i="20"/>
  <c r="I8" i="20"/>
  <c r="J8" i="20"/>
  <c r="K8" i="20"/>
  <c r="L8" i="20"/>
  <c r="M8" i="20"/>
  <c r="C8" i="20"/>
  <c r="D6" i="20"/>
  <c r="E6" i="20"/>
  <c r="F6" i="20"/>
  <c r="G6" i="20"/>
  <c r="H6" i="20"/>
  <c r="I6" i="20"/>
  <c r="J6" i="20"/>
  <c r="K6" i="20"/>
  <c r="L6" i="20"/>
  <c r="M6" i="20"/>
  <c r="C6" i="20"/>
  <c r="E20" i="18"/>
  <c r="E22" i="18" s="1"/>
  <c r="F20" i="18"/>
  <c r="F22" i="18" s="1"/>
  <c r="G20" i="18"/>
  <c r="H20" i="18"/>
  <c r="I20" i="18"/>
  <c r="E21" i="18"/>
  <c r="F21" i="18"/>
  <c r="G21" i="18"/>
  <c r="H21" i="18"/>
  <c r="I21" i="18"/>
  <c r="G22" i="18"/>
  <c r="H22" i="18"/>
  <c r="I22" i="18"/>
  <c r="D111" i="18" l="1"/>
  <c r="D92" i="18"/>
  <c r="D104" i="18" l="1"/>
  <c r="D102" i="18"/>
  <c r="D101" i="18"/>
  <c r="D91" i="18" l="1"/>
  <c r="C6" i="14" l="1"/>
  <c r="C4" i="13"/>
  <c r="C5" i="13"/>
  <c r="C3" i="13"/>
  <c r="C4" i="5"/>
  <c r="C5" i="5"/>
  <c r="C3" i="5"/>
  <c r="C5" i="15" l="1"/>
  <c r="D20" i="18" l="1"/>
  <c r="F71" i="20" l="1"/>
  <c r="F72" i="20"/>
  <c r="F73" i="20"/>
  <c r="F74" i="20"/>
  <c r="F75" i="20"/>
  <c r="F76" i="20"/>
  <c r="F77" i="20"/>
  <c r="F78" i="20"/>
  <c r="F79" i="20"/>
  <c r="F80" i="20"/>
  <c r="F70" i="20"/>
  <c r="D85" i="20"/>
  <c r="D86" i="20"/>
  <c r="D87" i="20"/>
  <c r="D88" i="20"/>
  <c r="D89" i="20"/>
  <c r="D90" i="20"/>
  <c r="D91" i="20"/>
  <c r="D92" i="20"/>
  <c r="D93" i="20"/>
  <c r="D94" i="20"/>
  <c r="D84" i="20"/>
  <c r="C85" i="20"/>
  <c r="C86" i="20"/>
  <c r="C87" i="20"/>
  <c r="C88" i="20"/>
  <c r="C89" i="20"/>
  <c r="C90" i="20"/>
  <c r="C91" i="20"/>
  <c r="C92" i="20"/>
  <c r="C93" i="20"/>
  <c r="C94" i="20"/>
  <c r="C84" i="20"/>
  <c r="B70" i="20" a="1"/>
  <c r="B70" i="20" s="1"/>
  <c r="B20" i="20" a="1"/>
  <c r="B20" i="20" s="1"/>
  <c r="B9" i="20" a="1"/>
  <c r="B9" i="20" s="1"/>
  <c r="A34" i="20"/>
  <c r="A24" i="20"/>
  <c r="A25" i="20"/>
  <c r="A9" i="20"/>
  <c r="A10" i="20"/>
  <c r="A11" i="20"/>
  <c r="A12" i="20"/>
  <c r="A13" i="20"/>
  <c r="A14" i="20"/>
  <c r="A15" i="20"/>
  <c r="A16" i="20"/>
  <c r="A17" i="20"/>
  <c r="A18" i="20"/>
  <c r="A19" i="20"/>
  <c r="A20" i="20"/>
  <c r="A21" i="20"/>
  <c r="A22" i="20"/>
  <c r="A23" i="20"/>
  <c r="A26" i="20"/>
  <c r="A27" i="20"/>
  <c r="A28" i="20"/>
  <c r="A29" i="20"/>
  <c r="A30" i="20"/>
  <c r="E70" i="20" l="1"/>
  <c r="E9" i="20"/>
  <c r="I9" i="20"/>
  <c r="M9" i="20"/>
  <c r="G9" i="20"/>
  <c r="D9" i="20"/>
  <c r="H9" i="20"/>
  <c r="C9" i="20"/>
  <c r="F20" i="20"/>
  <c r="J20" i="20"/>
  <c r="C20" i="20"/>
  <c r="G20" i="20"/>
  <c r="D20" i="20"/>
  <c r="H20" i="20"/>
  <c r="E20" i="20"/>
  <c r="I20" i="20"/>
  <c r="M20" i="20"/>
  <c r="J9" i="20"/>
  <c r="F9" i="20"/>
  <c r="B73" i="20"/>
  <c r="B80" i="20"/>
  <c r="B76" i="20"/>
  <c r="B72" i="20"/>
  <c r="B77" i="20"/>
  <c r="B79" i="20"/>
  <c r="B75" i="20"/>
  <c r="B71" i="20"/>
  <c r="B78" i="20"/>
  <c r="B74" i="20"/>
  <c r="B23" i="20"/>
  <c r="B30" i="20"/>
  <c r="B26" i="20"/>
  <c r="B22" i="20"/>
  <c r="B29" i="20"/>
  <c r="B25" i="20"/>
  <c r="B21" i="20"/>
  <c r="B27" i="20"/>
  <c r="B28" i="20"/>
  <c r="B24" i="20"/>
  <c r="B12" i="20"/>
  <c r="B19" i="20"/>
  <c r="B15" i="20"/>
  <c r="B11" i="20"/>
  <c r="B18" i="20"/>
  <c r="B14" i="20"/>
  <c r="B10" i="20"/>
  <c r="B16" i="20"/>
  <c r="B17" i="20"/>
  <c r="B13" i="20"/>
  <c r="C17" i="15"/>
  <c r="C8" i="15"/>
  <c r="G78" i="20" l="1"/>
  <c r="H78" i="20" s="1"/>
  <c r="G75" i="20"/>
  <c r="H75" i="20" s="1"/>
  <c r="G70" i="20"/>
  <c r="H70" i="20" s="1"/>
  <c r="G74" i="20"/>
  <c r="H74" i="20" s="1"/>
  <c r="G76" i="20"/>
  <c r="H76" i="20" s="1"/>
  <c r="G71" i="20"/>
  <c r="H71" i="20" s="1"/>
  <c r="G80" i="20"/>
  <c r="H80" i="20" s="1"/>
  <c r="G72" i="20"/>
  <c r="H72" i="20" s="1"/>
  <c r="G73" i="20"/>
  <c r="H73" i="20" s="1"/>
  <c r="G79" i="20"/>
  <c r="H79" i="20" s="1"/>
  <c r="G77" i="20"/>
  <c r="H77" i="20" s="1"/>
  <c r="D12" i="20"/>
  <c r="H12" i="20"/>
  <c r="E12" i="20"/>
  <c r="F12" i="20"/>
  <c r="J12" i="20"/>
  <c r="M12" i="20"/>
  <c r="C12" i="20"/>
  <c r="G12" i="20"/>
  <c r="I12" i="20"/>
  <c r="D16" i="20"/>
  <c r="H16" i="20"/>
  <c r="I16" i="20"/>
  <c r="F16" i="20"/>
  <c r="J16" i="20"/>
  <c r="E16" i="20"/>
  <c r="C16" i="20"/>
  <c r="G16" i="20"/>
  <c r="M16" i="20"/>
  <c r="F24" i="20"/>
  <c r="J24" i="20"/>
  <c r="C24" i="20"/>
  <c r="G24" i="20"/>
  <c r="D24" i="20"/>
  <c r="H24" i="20"/>
  <c r="E24" i="20"/>
  <c r="I24" i="20"/>
  <c r="M24" i="20"/>
  <c r="F10" i="20"/>
  <c r="J10" i="20"/>
  <c r="G10" i="20"/>
  <c r="D10" i="20"/>
  <c r="H10" i="20"/>
  <c r="C10" i="20"/>
  <c r="E10" i="20"/>
  <c r="I10" i="20"/>
  <c r="M10" i="20"/>
  <c r="C15" i="20"/>
  <c r="G15" i="20"/>
  <c r="H15" i="20"/>
  <c r="E15" i="20"/>
  <c r="I15" i="20"/>
  <c r="M15" i="20"/>
  <c r="D15" i="20"/>
  <c r="F15" i="20"/>
  <c r="J15" i="20"/>
  <c r="F28" i="20"/>
  <c r="J28" i="20"/>
  <c r="C28" i="20"/>
  <c r="G28" i="20"/>
  <c r="D28" i="20"/>
  <c r="H28" i="20"/>
  <c r="E28" i="20"/>
  <c r="I28" i="20"/>
  <c r="M28" i="20"/>
  <c r="C29" i="20"/>
  <c r="G29" i="20"/>
  <c r="H29" i="20"/>
  <c r="E29" i="20"/>
  <c r="I29" i="20"/>
  <c r="M29" i="20"/>
  <c r="F29" i="20"/>
  <c r="J29" i="20"/>
  <c r="D29" i="20"/>
  <c r="E23" i="20"/>
  <c r="I23" i="20"/>
  <c r="M23" i="20"/>
  <c r="F23" i="20"/>
  <c r="J23" i="20"/>
  <c r="C23" i="20"/>
  <c r="G23" i="20"/>
  <c r="D23" i="20"/>
  <c r="H23" i="20"/>
  <c r="F14" i="20"/>
  <c r="J14" i="20"/>
  <c r="G14" i="20"/>
  <c r="D14" i="20"/>
  <c r="H14" i="20"/>
  <c r="C14" i="20"/>
  <c r="E14" i="20"/>
  <c r="I14" i="20"/>
  <c r="M14" i="20"/>
  <c r="C19" i="20"/>
  <c r="G19" i="20"/>
  <c r="E19" i="20"/>
  <c r="I19" i="20"/>
  <c r="M19" i="20"/>
  <c r="F19" i="20"/>
  <c r="J19" i="20"/>
  <c r="D19" i="20"/>
  <c r="H19" i="20"/>
  <c r="E27" i="20"/>
  <c r="I27" i="20"/>
  <c r="M27" i="20"/>
  <c r="F27" i="20"/>
  <c r="J27" i="20"/>
  <c r="C27" i="20"/>
  <c r="G27" i="20"/>
  <c r="D27" i="20"/>
  <c r="H27" i="20"/>
  <c r="D22" i="20"/>
  <c r="H22" i="20"/>
  <c r="E22" i="20"/>
  <c r="I22" i="20"/>
  <c r="M22" i="20"/>
  <c r="F22" i="20"/>
  <c r="J22" i="20"/>
  <c r="C22" i="20"/>
  <c r="G22" i="20"/>
  <c r="F18" i="20"/>
  <c r="J18" i="20"/>
  <c r="D18" i="20"/>
  <c r="H18" i="20"/>
  <c r="E18" i="20"/>
  <c r="I18" i="20"/>
  <c r="M18" i="20"/>
  <c r="G18" i="20"/>
  <c r="C18" i="20"/>
  <c r="C21" i="20"/>
  <c r="G21" i="20"/>
  <c r="D21" i="20"/>
  <c r="H21" i="20"/>
  <c r="E21" i="20"/>
  <c r="I21" i="20"/>
  <c r="M21" i="20"/>
  <c r="F21" i="20"/>
  <c r="J21" i="20"/>
  <c r="D26" i="20"/>
  <c r="H26" i="20"/>
  <c r="E26" i="20"/>
  <c r="I26" i="20"/>
  <c r="M26" i="20"/>
  <c r="F26" i="20"/>
  <c r="J26" i="20"/>
  <c r="C26" i="20"/>
  <c r="G26" i="20"/>
  <c r="E13" i="20"/>
  <c r="I13" i="20"/>
  <c r="M13" i="20"/>
  <c r="F13" i="20"/>
  <c r="C13" i="20"/>
  <c r="G13" i="20"/>
  <c r="D13" i="20"/>
  <c r="H13" i="20"/>
  <c r="J13" i="20"/>
  <c r="E17" i="20"/>
  <c r="I17" i="20"/>
  <c r="M17" i="20"/>
  <c r="J17" i="20"/>
  <c r="C17" i="20"/>
  <c r="G17" i="20"/>
  <c r="D17" i="20"/>
  <c r="H17" i="20"/>
  <c r="F17" i="20"/>
  <c r="C11" i="20"/>
  <c r="G11" i="20"/>
  <c r="H11" i="20"/>
  <c r="E11" i="20"/>
  <c r="I11" i="20"/>
  <c r="M11" i="20"/>
  <c r="F11" i="20"/>
  <c r="J11" i="20"/>
  <c r="D11" i="20"/>
  <c r="C25" i="20"/>
  <c r="G25" i="20"/>
  <c r="D25" i="20"/>
  <c r="H25" i="20"/>
  <c r="E25" i="20"/>
  <c r="I25" i="20"/>
  <c r="M25" i="20"/>
  <c r="F25" i="20"/>
  <c r="J25" i="20"/>
  <c r="D30" i="20"/>
  <c r="H30" i="20"/>
  <c r="E30" i="20"/>
  <c r="I30" i="20"/>
  <c r="M30" i="20"/>
  <c r="F30" i="20"/>
  <c r="J30" i="20"/>
  <c r="C30" i="20"/>
  <c r="G30" i="20"/>
  <c r="C34" i="20"/>
  <c r="D34" i="20"/>
  <c r="E34" i="20"/>
  <c r="F34" i="20"/>
  <c r="G34" i="20"/>
  <c r="H34" i="20"/>
  <c r="I34" i="20"/>
  <c r="J34" i="20"/>
  <c r="A7" i="20"/>
  <c r="A8" i="20"/>
  <c r="A31" i="20"/>
  <c r="A6" i="20"/>
  <c r="I31" i="20"/>
  <c r="M31" i="20"/>
  <c r="L31" i="20"/>
  <c r="K31" i="20"/>
  <c r="J31" i="20"/>
  <c r="H31" i="20"/>
  <c r="G31" i="20"/>
  <c r="F31" i="20"/>
  <c r="E31" i="20"/>
  <c r="D31" i="20"/>
  <c r="C31" i="20"/>
  <c r="I72" i="20" l="1"/>
  <c r="K72" i="20"/>
  <c r="J72" i="20"/>
  <c r="I80" i="20"/>
  <c r="J80" i="20"/>
  <c r="K80" i="20"/>
  <c r="I71" i="20"/>
  <c r="K71" i="20"/>
  <c r="J71" i="20"/>
  <c r="I76" i="20"/>
  <c r="J76" i="20"/>
  <c r="K76" i="20"/>
  <c r="I74" i="20"/>
  <c r="J74" i="20"/>
  <c r="K74" i="20"/>
  <c r="I77" i="20"/>
  <c r="K77" i="20"/>
  <c r="J77" i="20"/>
  <c r="I70" i="20"/>
  <c r="K70" i="20"/>
  <c r="J70" i="20"/>
  <c r="I79" i="20"/>
  <c r="K79" i="20"/>
  <c r="J79" i="20"/>
  <c r="I75" i="20"/>
  <c r="J75" i="20"/>
  <c r="K75" i="20"/>
  <c r="I73" i="20"/>
  <c r="J73" i="20"/>
  <c r="K73" i="20"/>
  <c r="I78" i="20"/>
  <c r="K78" i="20"/>
  <c r="J78" i="20"/>
  <c r="M34" i="20"/>
  <c r="D90" i="18" s="1"/>
  <c r="D93" i="18" s="1"/>
  <c r="I63" i="18" s="1"/>
  <c r="J5" i="15"/>
  <c r="J6" i="15"/>
  <c r="J7" i="15"/>
  <c r="K7" i="15"/>
  <c r="J8" i="15"/>
  <c r="J4" i="15"/>
  <c r="I2" i="15"/>
  <c r="D79" i="18" l="1"/>
  <c r="B78" i="18"/>
  <c r="B79" i="18"/>
  <c r="C79" i="18"/>
  <c r="D82" i="18" l="1"/>
  <c r="C5" i="18"/>
  <c r="C4" i="18"/>
  <c r="C3" i="18"/>
  <c r="A1" i="18" s="1"/>
  <c r="D17" i="18" l="1"/>
  <c r="D42" i="18" s="1"/>
  <c r="D41" i="18" s="1"/>
  <c r="E17" i="18" l="1"/>
  <c r="E42" i="18" s="1"/>
  <c r="D16" i="18"/>
  <c r="K27" i="14"/>
  <c r="K34" i="10" s="1"/>
  <c r="I307" i="10"/>
  <c r="I33" i="14"/>
  <c r="I124" i="10" s="1"/>
  <c r="I123" i="10" s="1"/>
  <c r="I38" i="14"/>
  <c r="I160" i="10" s="1"/>
  <c r="J307" i="10"/>
  <c r="J33" i="14"/>
  <c r="J124" i="10" s="1"/>
  <c r="J123" i="10" s="1"/>
  <c r="K307" i="10"/>
  <c r="K33" i="14"/>
  <c r="K124" i="10" s="1"/>
  <c r="K123" i="10" s="1"/>
  <c r="L307" i="10"/>
  <c r="L33" i="14"/>
  <c r="L124" i="10" s="1"/>
  <c r="L123" i="10" s="1"/>
  <c r="M307" i="10"/>
  <c r="M33" i="14"/>
  <c r="M124" i="10" s="1"/>
  <c r="M123" i="10" s="1"/>
  <c r="L17" i="14"/>
  <c r="L59" i="10" s="1"/>
  <c r="I21" i="14"/>
  <c r="I40" i="10" s="1"/>
  <c r="I41" i="14"/>
  <c r="I169" i="10" s="1"/>
  <c r="H62" i="10"/>
  <c r="H64" i="10"/>
  <c r="M161" i="10"/>
  <c r="M139" i="10"/>
  <c r="L139" i="10"/>
  <c r="M146" i="10"/>
  <c r="L146" i="10"/>
  <c r="M186" i="10"/>
  <c r="M227" i="10" s="1"/>
  <c r="I48" i="18" s="1"/>
  <c r="I108" i="10"/>
  <c r="E104" i="10"/>
  <c r="E106" i="10" s="1"/>
  <c r="I139" i="10"/>
  <c r="I161" i="10"/>
  <c r="D155" i="10"/>
  <c r="E153" i="10" s="1"/>
  <c r="E159" i="10"/>
  <c r="E231" i="10" s="1"/>
  <c r="E233" i="10" s="1"/>
  <c r="E154" i="10"/>
  <c r="F159" i="10"/>
  <c r="F154" i="10" s="1"/>
  <c r="G159" i="10"/>
  <c r="G154" i="10" s="1"/>
  <c r="H159" i="10"/>
  <c r="H231" i="10" s="1"/>
  <c r="H154" i="10"/>
  <c r="I146" i="10"/>
  <c r="I186" i="10"/>
  <c r="I227" i="10" s="1"/>
  <c r="D187" i="10"/>
  <c r="E185" i="10" s="1"/>
  <c r="E186" i="10"/>
  <c r="E46" i="14" s="1"/>
  <c r="F186" i="10"/>
  <c r="G186" i="10"/>
  <c r="G46" i="14" s="1"/>
  <c r="H186" i="10"/>
  <c r="H227" i="10" s="1"/>
  <c r="D48" i="18" s="1"/>
  <c r="I41" i="10"/>
  <c r="I42" i="10"/>
  <c r="I163" i="10"/>
  <c r="D156" i="10"/>
  <c r="E162" i="10"/>
  <c r="F162" i="10"/>
  <c r="G162" i="10"/>
  <c r="H162" i="10"/>
  <c r="D71" i="10"/>
  <c r="I181" i="10"/>
  <c r="D179" i="10"/>
  <c r="E177" i="10" s="1"/>
  <c r="E178" i="10"/>
  <c r="E237" i="10" s="1"/>
  <c r="E30" i="16" s="1"/>
  <c r="F178" i="10"/>
  <c r="G178" i="10"/>
  <c r="H178" i="10"/>
  <c r="I299" i="10"/>
  <c r="I44" i="10"/>
  <c r="I43" i="10"/>
  <c r="E46" i="18" s="1"/>
  <c r="I178" i="10"/>
  <c r="I210" i="10"/>
  <c r="I206" i="10"/>
  <c r="D211" i="10"/>
  <c r="E209" i="10" s="1"/>
  <c r="E211" i="10" s="1"/>
  <c r="D196" i="10"/>
  <c r="E194" i="10" s="1"/>
  <c r="E195" i="10"/>
  <c r="E238" i="10" s="1"/>
  <c r="F195" i="10"/>
  <c r="F238" i="10" s="1"/>
  <c r="G195" i="10"/>
  <c r="H195" i="10"/>
  <c r="H238" i="10" s="1"/>
  <c r="D75" i="18" s="1"/>
  <c r="D297" i="10"/>
  <c r="E295" i="10" s="1"/>
  <c r="E297" i="10" s="1"/>
  <c r="F295" i="10" s="1"/>
  <c r="E296" i="10"/>
  <c r="F296" i="10"/>
  <c r="G296" i="10"/>
  <c r="H296" i="10"/>
  <c r="D113" i="10"/>
  <c r="E111" i="10" s="1"/>
  <c r="E112" i="10"/>
  <c r="F112" i="10"/>
  <c r="G112" i="10"/>
  <c r="G222" i="10" s="1"/>
  <c r="G15" i="16" s="1"/>
  <c r="H112" i="10"/>
  <c r="D121" i="10"/>
  <c r="E119" i="10" s="1"/>
  <c r="E120" i="10"/>
  <c r="E223" i="10" s="1"/>
  <c r="E16" i="16" s="1"/>
  <c r="F120" i="10"/>
  <c r="F223" i="10" s="1"/>
  <c r="F16" i="16" s="1"/>
  <c r="G120" i="10"/>
  <c r="G223" i="10" s="1"/>
  <c r="G16" i="16" s="1"/>
  <c r="H120" i="10"/>
  <c r="D137" i="10"/>
  <c r="E135" i="10"/>
  <c r="E137" i="10" s="1"/>
  <c r="E136" i="10"/>
  <c r="E224" i="10" s="1"/>
  <c r="E17" i="16" s="1"/>
  <c r="F136" i="10"/>
  <c r="G136" i="10"/>
  <c r="G224" i="10" s="1"/>
  <c r="G17" i="16" s="1"/>
  <c r="H136" i="10"/>
  <c r="H224" i="10" s="1"/>
  <c r="D55" i="18" s="1"/>
  <c r="D129" i="10"/>
  <c r="E127" i="10" s="1"/>
  <c r="E129" i="10" s="1"/>
  <c r="F127" i="10" s="1"/>
  <c r="E128" i="10"/>
  <c r="F128" i="10"/>
  <c r="F225" i="10" s="1"/>
  <c r="F18" i="16" s="1"/>
  <c r="G128" i="10"/>
  <c r="G225" i="10" s="1"/>
  <c r="G18" i="16" s="1"/>
  <c r="H128" i="10"/>
  <c r="H225" i="10" s="1"/>
  <c r="D56" i="18" s="1"/>
  <c r="D144" i="10"/>
  <c r="E142" i="10" s="1"/>
  <c r="E143" i="10"/>
  <c r="E226" i="10" s="1"/>
  <c r="E19" i="16" s="1"/>
  <c r="F143" i="10"/>
  <c r="F226" i="10" s="1"/>
  <c r="G143" i="10"/>
  <c r="H143" i="10"/>
  <c r="D168" i="10"/>
  <c r="E166" i="10"/>
  <c r="E168" i="10" s="1"/>
  <c r="E167" i="10"/>
  <c r="F167" i="10"/>
  <c r="G167" i="10"/>
  <c r="G232" i="10" s="1"/>
  <c r="G25" i="16" s="1"/>
  <c r="H167" i="10"/>
  <c r="H232" i="10" s="1"/>
  <c r="D60" i="18" s="1"/>
  <c r="I237" i="10"/>
  <c r="I30" i="16" s="1"/>
  <c r="D246" i="10"/>
  <c r="E244" i="10" s="1"/>
  <c r="E52" i="10"/>
  <c r="E12" i="10" s="1"/>
  <c r="E50" i="13" s="1"/>
  <c r="E220" i="10"/>
  <c r="E221" i="10"/>
  <c r="E222" i="10"/>
  <c r="E15" i="16" s="1"/>
  <c r="E225" i="10"/>
  <c r="E227" i="10"/>
  <c r="E20" i="16" s="1"/>
  <c r="E232" i="10"/>
  <c r="E25" i="16" s="1"/>
  <c r="E236" i="10"/>
  <c r="E29" i="16" s="1"/>
  <c r="E239" i="10"/>
  <c r="F52" i="10"/>
  <c r="F220" i="10"/>
  <c r="F221" i="10"/>
  <c r="F222" i="10"/>
  <c r="F15" i="16" s="1"/>
  <c r="F224" i="10"/>
  <c r="F227" i="10"/>
  <c r="F20" i="16" s="1"/>
  <c r="F231" i="10"/>
  <c r="F232" i="10"/>
  <c r="F25" i="16" s="1"/>
  <c r="F236" i="10"/>
  <c r="F29" i="16" s="1"/>
  <c r="F239" i="10"/>
  <c r="G52" i="10"/>
  <c r="G12" i="10"/>
  <c r="G14" i="10" s="1"/>
  <c r="G17" i="10" s="1"/>
  <c r="G19" i="10" s="1"/>
  <c r="G220" i="10"/>
  <c r="G221" i="10"/>
  <c r="G226" i="10"/>
  <c r="G19" i="16" s="1"/>
  <c r="G231" i="10"/>
  <c r="G236" i="10"/>
  <c r="G237" i="10"/>
  <c r="G30" i="16" s="1"/>
  <c r="G238" i="10"/>
  <c r="G239" i="10"/>
  <c r="H52" i="10"/>
  <c r="H12" i="10" s="1"/>
  <c r="H220" i="10"/>
  <c r="D51" i="18" s="1"/>
  <c r="H221" i="10"/>
  <c r="H222" i="10"/>
  <c r="D53" i="18" s="1"/>
  <c r="H223" i="10"/>
  <c r="D54" i="18" s="1"/>
  <c r="H226" i="10"/>
  <c r="H236" i="10"/>
  <c r="H239" i="10"/>
  <c r="J108" i="10"/>
  <c r="J139" i="10"/>
  <c r="J161" i="10"/>
  <c r="J146" i="10"/>
  <c r="J186" i="10"/>
  <c r="J227" i="10" s="1"/>
  <c r="J41" i="10"/>
  <c r="J42" i="10"/>
  <c r="J181" i="10"/>
  <c r="J299" i="10"/>
  <c r="J44" i="10"/>
  <c r="J43" i="10"/>
  <c r="F46" i="18" s="1"/>
  <c r="J163" i="10"/>
  <c r="J178" i="10"/>
  <c r="J237" i="10" s="1"/>
  <c r="J30" i="16" s="1"/>
  <c r="J210" i="10"/>
  <c r="J206" i="10"/>
  <c r="K108" i="10"/>
  <c r="K139" i="10"/>
  <c r="K161" i="10"/>
  <c r="K146" i="10"/>
  <c r="K186" i="10"/>
  <c r="K227" i="10" s="1"/>
  <c r="K41" i="10"/>
  <c r="K42" i="10"/>
  <c r="K181" i="10"/>
  <c r="K299" i="10"/>
  <c r="K44" i="10"/>
  <c r="K43" i="10"/>
  <c r="G46" i="18" s="1"/>
  <c r="K163" i="10"/>
  <c r="K178" i="10"/>
  <c r="K237" i="10" s="1"/>
  <c r="K30" i="16" s="1"/>
  <c r="K210" i="10"/>
  <c r="K206" i="10"/>
  <c r="L108" i="10"/>
  <c r="L161" i="10"/>
  <c r="L186" i="10"/>
  <c r="L227" i="10" s="1"/>
  <c r="L41" i="10"/>
  <c r="L42" i="10"/>
  <c r="L181" i="10"/>
  <c r="L299" i="10"/>
  <c r="L44" i="10"/>
  <c r="L43" i="10"/>
  <c r="H46" i="18" s="1"/>
  <c r="L163" i="10"/>
  <c r="L178" i="10"/>
  <c r="L237" i="10" s="1"/>
  <c r="L30" i="16" s="1"/>
  <c r="L210" i="10"/>
  <c r="L206" i="10"/>
  <c r="M108" i="10"/>
  <c r="M41" i="10"/>
  <c r="M42" i="10"/>
  <c r="M181" i="10"/>
  <c r="M299" i="10"/>
  <c r="M44" i="10"/>
  <c r="M43" i="10"/>
  <c r="I46" i="18" s="1"/>
  <c r="M163" i="10"/>
  <c r="M178" i="10"/>
  <c r="M237" i="10" s="1"/>
  <c r="M30" i="16" s="1"/>
  <c r="M210" i="10"/>
  <c r="M206" i="10"/>
  <c r="D202" i="10"/>
  <c r="E199" i="10" s="1"/>
  <c r="E201" i="10"/>
  <c r="F201" i="10"/>
  <c r="G201" i="10"/>
  <c r="H201" i="10"/>
  <c r="I32" i="14"/>
  <c r="I116" i="10" s="1"/>
  <c r="I115" i="10" s="1"/>
  <c r="J32" i="14"/>
  <c r="J116" i="10" s="1"/>
  <c r="J115" i="10" s="1"/>
  <c r="K32" i="14"/>
  <c r="K116" i="10" s="1"/>
  <c r="K115" i="10" s="1"/>
  <c r="L32" i="14"/>
  <c r="L116" i="10" s="1"/>
  <c r="L115" i="10" s="1"/>
  <c r="M32" i="14"/>
  <c r="M116" i="10" s="1"/>
  <c r="M115" i="10" s="1"/>
  <c r="F14" i="16"/>
  <c r="F17" i="16"/>
  <c r="F19" i="16"/>
  <c r="G14" i="16"/>
  <c r="H14" i="16"/>
  <c r="E14" i="16"/>
  <c r="E18" i="16"/>
  <c r="C16" i="17"/>
  <c r="E33" i="17"/>
  <c r="F33" i="17" s="1"/>
  <c r="D32" i="17"/>
  <c r="E23" i="17"/>
  <c r="F23" i="17" s="1"/>
  <c r="D22" i="17"/>
  <c r="C6" i="17"/>
  <c r="C5" i="17"/>
  <c r="C4" i="17"/>
  <c r="C3" i="17"/>
  <c r="A1" i="17" s="1"/>
  <c r="G24" i="16"/>
  <c r="G26" i="16" s="1"/>
  <c r="H29" i="16"/>
  <c r="I34" i="14"/>
  <c r="I132" i="10" s="1"/>
  <c r="I131" i="10" s="1"/>
  <c r="J34" i="14"/>
  <c r="J132" i="10" s="1"/>
  <c r="J131" i="10" s="1"/>
  <c r="K34" i="14"/>
  <c r="K132" i="10" s="1"/>
  <c r="K131" i="10" s="1"/>
  <c r="L34" i="14"/>
  <c r="L132" i="10" s="1"/>
  <c r="L131" i="10" s="1"/>
  <c r="M34" i="14"/>
  <c r="M132" i="10" s="1"/>
  <c r="M131" i="10" s="1"/>
  <c r="I10" i="16"/>
  <c r="G10" i="16"/>
  <c r="F10" i="16" s="1"/>
  <c r="E10" i="16" s="1"/>
  <c r="D10" i="16" s="1"/>
  <c r="H9" i="16"/>
  <c r="G9" i="16" s="1"/>
  <c r="F9" i="16"/>
  <c r="E9" i="16" s="1"/>
  <c r="D9" i="16" s="1"/>
  <c r="C6" i="16"/>
  <c r="C5" i="16"/>
  <c r="C4" i="16"/>
  <c r="C3" i="16"/>
  <c r="A1" i="16" s="1"/>
  <c r="J15" i="14"/>
  <c r="J63" i="10" s="1"/>
  <c r="I15" i="14"/>
  <c r="I63" i="10" s="1"/>
  <c r="I62" i="10" s="1"/>
  <c r="J18" i="14"/>
  <c r="J65" i="10" s="1"/>
  <c r="K15" i="14"/>
  <c r="K63" i="10" s="1"/>
  <c r="L15" i="14"/>
  <c r="L63" i="10" s="1"/>
  <c r="M15" i="14"/>
  <c r="M63" i="10" s="1"/>
  <c r="I10" i="10"/>
  <c r="I9" i="10" s="1"/>
  <c r="I8" i="5" s="1"/>
  <c r="D52" i="10"/>
  <c r="D12" i="10" s="1"/>
  <c r="E78" i="10"/>
  <c r="D93" i="10"/>
  <c r="D57" i="14" s="1"/>
  <c r="F48" i="14"/>
  <c r="G48" i="14"/>
  <c r="H48" i="14"/>
  <c r="E48" i="14"/>
  <c r="F46" i="14"/>
  <c r="H46" i="14"/>
  <c r="G43" i="14"/>
  <c r="E131" i="10"/>
  <c r="E132" i="10" s="1"/>
  <c r="E34" i="14" s="1"/>
  <c r="F131" i="10"/>
  <c r="F132" i="10" s="1"/>
  <c r="F34" i="14" s="1"/>
  <c r="G131" i="10"/>
  <c r="G132" i="10" s="1"/>
  <c r="G34" i="14" s="1"/>
  <c r="H131" i="10"/>
  <c r="H132" i="10" s="1"/>
  <c r="H34" i="14" s="1"/>
  <c r="D131" i="10"/>
  <c r="D132" i="10" s="1"/>
  <c r="D34" i="14" s="1"/>
  <c r="E123" i="10"/>
  <c r="E124" i="10" s="1"/>
  <c r="E33" i="14" s="1"/>
  <c r="F123" i="10"/>
  <c r="F124" i="10"/>
  <c r="F33" i="14" s="1"/>
  <c r="G123" i="10"/>
  <c r="G124" i="10" s="1"/>
  <c r="G33" i="14" s="1"/>
  <c r="H123" i="10"/>
  <c r="H124" i="10" s="1"/>
  <c r="H33" i="14" s="1"/>
  <c r="D123" i="10"/>
  <c r="D124" i="10" s="1"/>
  <c r="D33" i="14" s="1"/>
  <c r="E115" i="10"/>
  <c r="E116" i="10" s="1"/>
  <c r="E32" i="14" s="1"/>
  <c r="G115" i="10"/>
  <c r="G116" i="10" s="1"/>
  <c r="G32" i="14" s="1"/>
  <c r="D33" i="10"/>
  <c r="G41" i="10"/>
  <c r="G22" i="14"/>
  <c r="G40" i="10"/>
  <c r="G21" i="14" s="1"/>
  <c r="F64" i="10"/>
  <c r="G65" i="10" s="1"/>
  <c r="G18" i="14" s="1"/>
  <c r="E64" i="10"/>
  <c r="G64" i="10"/>
  <c r="H65" i="10"/>
  <c r="H18" i="14" s="1"/>
  <c r="D64" i="10"/>
  <c r="F62" i="10"/>
  <c r="E62" i="10"/>
  <c r="F63" i="10" s="1"/>
  <c r="F15" i="14" s="1"/>
  <c r="G62" i="10"/>
  <c r="D62" i="10"/>
  <c r="F57" i="10"/>
  <c r="F14" i="14" s="1"/>
  <c r="G57" i="10"/>
  <c r="G14" i="14" s="1"/>
  <c r="H57" i="10"/>
  <c r="H14" i="14"/>
  <c r="F59" i="10"/>
  <c r="F17" i="14" s="1"/>
  <c r="G59" i="10"/>
  <c r="G17" i="14" s="1"/>
  <c r="H59" i="10"/>
  <c r="H17" i="14" s="1"/>
  <c r="E59" i="10"/>
  <c r="E17" i="14" s="1"/>
  <c r="E57" i="10"/>
  <c r="E14" i="14"/>
  <c r="H10" i="14"/>
  <c r="I10" i="14" s="1"/>
  <c r="C4" i="10"/>
  <c r="C5" i="10"/>
  <c r="H10" i="10" s="1"/>
  <c r="H9" i="10" s="1"/>
  <c r="C3" i="10"/>
  <c r="A1" i="10" s="1"/>
  <c r="A1" i="5" s="1"/>
  <c r="A1" i="14"/>
  <c r="E48" i="5"/>
  <c r="E52" i="5" s="1"/>
  <c r="D48" i="5"/>
  <c r="D52" i="5" s="1"/>
  <c r="E15" i="5"/>
  <c r="E16" i="5" s="1"/>
  <c r="E26" i="5" s="1"/>
  <c r="E18" i="5"/>
  <c r="E20" i="5" s="1"/>
  <c r="F18" i="5"/>
  <c r="F20" i="5" s="1"/>
  <c r="G15" i="5"/>
  <c r="G16" i="5" s="1"/>
  <c r="G18" i="5"/>
  <c r="G19" i="5" s="1"/>
  <c r="H18" i="5"/>
  <c r="H20" i="5"/>
  <c r="E22" i="5"/>
  <c r="E23" i="5" s="1"/>
  <c r="F22" i="5"/>
  <c r="F23" i="5" s="1"/>
  <c r="G22" i="5"/>
  <c r="G23" i="5" s="1"/>
  <c r="H22" i="5"/>
  <c r="H23" i="5" s="1"/>
  <c r="D18" i="5"/>
  <c r="D20" i="5" s="1"/>
  <c r="D22" i="5"/>
  <c r="D23" i="5"/>
  <c r="G10" i="10"/>
  <c r="H10" i="13"/>
  <c r="E12" i="13"/>
  <c r="G49" i="13"/>
  <c r="G50" i="13"/>
  <c r="D87" i="10"/>
  <c r="E87" i="10"/>
  <c r="E51" i="13" s="1"/>
  <c r="F87" i="10"/>
  <c r="F90" i="10" s="1"/>
  <c r="G87" i="10"/>
  <c r="G90" i="10" s="1"/>
  <c r="H87" i="10"/>
  <c r="G52" i="13"/>
  <c r="G53" i="13"/>
  <c r="E90" i="10"/>
  <c r="E54" i="13" s="1"/>
  <c r="H90" i="10"/>
  <c r="G55" i="13"/>
  <c r="G48" i="13"/>
  <c r="G36" i="13"/>
  <c r="G37" i="13"/>
  <c r="E38" i="13"/>
  <c r="E39" i="13"/>
  <c r="E41" i="13"/>
  <c r="E44" i="13"/>
  <c r="I281" i="10"/>
  <c r="C282" i="10"/>
  <c r="H282" i="10"/>
  <c r="B282" i="10"/>
  <c r="B281" i="10"/>
  <c r="F254" i="10"/>
  <c r="F255" i="10"/>
  <c r="F256" i="10"/>
  <c r="F258" i="10"/>
  <c r="F259" i="10"/>
  <c r="G254" i="10"/>
  <c r="G255" i="10"/>
  <c r="G256" i="10"/>
  <c r="G258" i="10"/>
  <c r="G259" i="10"/>
  <c r="H254" i="10"/>
  <c r="H255" i="10"/>
  <c r="H256" i="10"/>
  <c r="H258" i="10"/>
  <c r="H259" i="10"/>
  <c r="E254" i="10"/>
  <c r="E255" i="10"/>
  <c r="E256" i="10"/>
  <c r="E258" i="10"/>
  <c r="E259" i="10"/>
  <c r="E267" i="10"/>
  <c r="E268" i="10"/>
  <c r="E269" i="10"/>
  <c r="E270" i="10" s="1"/>
  <c r="E273" i="10"/>
  <c r="E274" i="10"/>
  <c r="F267" i="10"/>
  <c r="F268" i="10"/>
  <c r="F269" i="10"/>
  <c r="F273" i="10"/>
  <c r="F274" i="10"/>
  <c r="G267" i="10"/>
  <c r="G270" i="10" s="1"/>
  <c r="G268" i="10"/>
  <c r="G269" i="10"/>
  <c r="G273" i="10"/>
  <c r="G274" i="10"/>
  <c r="H267" i="10"/>
  <c r="H268" i="10"/>
  <c r="H269" i="10"/>
  <c r="H273" i="10"/>
  <c r="H274" i="10"/>
  <c r="C250" i="10"/>
  <c r="H250" i="10"/>
  <c r="B250" i="10"/>
  <c r="C264" i="10"/>
  <c r="H264" i="10"/>
  <c r="B264" i="10"/>
  <c r="B263" i="10"/>
  <c r="B249" i="10"/>
  <c r="B38" i="10"/>
  <c r="C38" i="10"/>
  <c r="H38" i="10"/>
  <c r="B37" i="10"/>
  <c r="B216" i="10"/>
  <c r="C216" i="10"/>
  <c r="H216" i="10"/>
  <c r="B215" i="10"/>
  <c r="B191" i="10"/>
  <c r="C191" i="10"/>
  <c r="H191" i="10"/>
  <c r="B190" i="10"/>
  <c r="B174" i="10"/>
  <c r="C174" i="10"/>
  <c r="H174" i="10"/>
  <c r="B173" i="10"/>
  <c r="C150" i="10"/>
  <c r="H150" i="10"/>
  <c r="B150" i="10"/>
  <c r="B149" i="10"/>
  <c r="B100" i="10"/>
  <c r="C100" i="10"/>
  <c r="H100" i="10"/>
  <c r="B99" i="10"/>
  <c r="I100" i="10"/>
  <c r="I48" i="10"/>
  <c r="H33" i="13"/>
  <c r="C33" i="13"/>
  <c r="B33" i="13"/>
  <c r="B32" i="13"/>
  <c r="A1" i="13"/>
  <c r="I30" i="4"/>
  <c r="O45" i="5" s="1"/>
  <c r="O59" i="5" s="1"/>
  <c r="I17" i="4"/>
  <c r="O29" i="5"/>
  <c r="O58" i="5" s="1"/>
  <c r="I23" i="4"/>
  <c r="O35" i="5" s="1"/>
  <c r="O57" i="5" s="1"/>
  <c r="I13" i="4"/>
  <c r="O23" i="5" s="1"/>
  <c r="O22" i="5" s="1"/>
  <c r="I11" i="4"/>
  <c r="O16" i="5" s="1"/>
  <c r="O15" i="5" s="1"/>
  <c r="I12" i="4"/>
  <c r="O20" i="5" s="1"/>
  <c r="B8" i="5"/>
  <c r="B9" i="5"/>
  <c r="C9" i="5"/>
  <c r="H9" i="5"/>
  <c r="B4" i="5"/>
  <c r="B5" i="5"/>
  <c r="B3" i="5"/>
  <c r="B69" i="10"/>
  <c r="C69" i="10"/>
  <c r="H69" i="10"/>
  <c r="B68" i="10"/>
  <c r="C48" i="10"/>
  <c r="B48" i="10"/>
  <c r="B47" i="10"/>
  <c r="H48" i="10"/>
  <c r="I21" i="4"/>
  <c r="O34" i="5" s="1"/>
  <c r="I20" i="4"/>
  <c r="O33" i="5" s="1"/>
  <c r="D41" i="4"/>
  <c r="D42" i="4"/>
  <c r="I42" i="4" s="1"/>
  <c r="D43" i="4"/>
  <c r="E41" i="4"/>
  <c r="E42" i="4"/>
  <c r="E43" i="4"/>
  <c r="F41" i="4"/>
  <c r="F42" i="4"/>
  <c r="F43" i="4"/>
  <c r="G41" i="4"/>
  <c r="G42" i="4"/>
  <c r="G43" i="4"/>
  <c r="H41" i="4"/>
  <c r="H42" i="4"/>
  <c r="H43" i="4"/>
  <c r="D15" i="4"/>
  <c r="E15" i="4"/>
  <c r="F15" i="4"/>
  <c r="G15" i="4"/>
  <c r="H15" i="4"/>
  <c r="I8" i="4"/>
  <c r="O12" i="5" s="1"/>
  <c r="I14" i="4"/>
  <c r="O25" i="5" s="1"/>
  <c r="I16" i="4"/>
  <c r="O28" i="5" s="1"/>
  <c r="I22" i="4"/>
  <c r="I26" i="4"/>
  <c r="O41" i="5" s="1"/>
  <c r="I27" i="4"/>
  <c r="O42" i="5" s="1"/>
  <c r="I28" i="4"/>
  <c r="O43" i="5" s="1"/>
  <c r="I29" i="4"/>
  <c r="O44" i="5" s="1"/>
  <c r="I33" i="4"/>
  <c r="O49" i="5" s="1"/>
  <c r="I36" i="4"/>
  <c r="O52" i="5" s="1"/>
  <c r="I37" i="4"/>
  <c r="O53" i="5" s="1"/>
  <c r="I38" i="4"/>
  <c r="O54" i="5" s="1"/>
  <c r="I7" i="4"/>
  <c r="O11" i="5" s="1"/>
  <c r="B52" i="5"/>
  <c r="B49" i="5"/>
  <c r="A51" i="5"/>
  <c r="B53" i="5"/>
  <c r="B54" i="5"/>
  <c r="A56" i="5"/>
  <c r="B57" i="5"/>
  <c r="B58" i="5"/>
  <c r="B59" i="5"/>
  <c r="B60" i="5"/>
  <c r="B61" i="5"/>
  <c r="A31" i="5"/>
  <c r="A40" i="5"/>
  <c r="B43" i="5"/>
  <c r="B44" i="5"/>
  <c r="B45" i="5"/>
  <c r="A47" i="5"/>
  <c r="B11" i="5"/>
  <c r="B12" i="5"/>
  <c r="A14" i="5"/>
  <c r="H99" i="10"/>
  <c r="H19" i="5"/>
  <c r="D43" i="5"/>
  <c r="D54" i="5"/>
  <c r="D13" i="13"/>
  <c r="E20" i="13"/>
  <c r="E24" i="13"/>
  <c r="E18" i="13"/>
  <c r="E22" i="13"/>
  <c r="D16" i="13"/>
  <c r="G24" i="13"/>
  <c r="G21" i="13"/>
  <c r="G15" i="13"/>
  <c r="G22" i="13"/>
  <c r="G14" i="13"/>
  <c r="G17" i="13"/>
  <c r="F12" i="10" l="1"/>
  <c r="G53" i="10"/>
  <c r="F53" i="10"/>
  <c r="F237" i="10"/>
  <c r="F30" i="16" s="1"/>
  <c r="F31" i="16" s="1"/>
  <c r="F43" i="14"/>
  <c r="G9" i="10"/>
  <c r="H4" i="4"/>
  <c r="H190" i="10"/>
  <c r="H249" i="10"/>
  <c r="H263" i="10"/>
  <c r="H149" i="10"/>
  <c r="H9" i="13"/>
  <c r="H32" i="13" s="1"/>
  <c r="H37" i="10"/>
  <c r="H233" i="10"/>
  <c r="D59" i="18"/>
  <c r="D61" i="18" s="1"/>
  <c r="H24" i="16"/>
  <c r="G10" i="13"/>
  <c r="G33" i="13" s="1"/>
  <c r="G191" i="10"/>
  <c r="G150" i="10"/>
  <c r="G48" i="10"/>
  <c r="G100" i="10"/>
  <c r="G282" i="10"/>
  <c r="D14" i="10"/>
  <c r="D14" i="13" s="1"/>
  <c r="D115" i="10"/>
  <c r="D116" i="10" s="1"/>
  <c r="D32" i="14" s="1"/>
  <c r="D57" i="13"/>
  <c r="D36" i="13"/>
  <c r="D27" i="13"/>
  <c r="L20" i="16"/>
  <c r="H48" i="18"/>
  <c r="D57" i="18"/>
  <c r="H19" i="16"/>
  <c r="E31" i="16"/>
  <c r="E79" i="10"/>
  <c r="E28" i="5" s="1"/>
  <c r="F78" i="10"/>
  <c r="E42" i="13"/>
  <c r="D305" i="10"/>
  <c r="E303" i="10" s="1"/>
  <c r="D76" i="10"/>
  <c r="H63" i="10"/>
  <c r="H15" i="14" s="1"/>
  <c r="G63" i="10"/>
  <c r="G15" i="14" s="1"/>
  <c r="E24" i="16"/>
  <c r="E156" i="10"/>
  <c r="F156" i="10" s="1"/>
  <c r="E53" i="10"/>
  <c r="H45" i="4"/>
  <c r="I216" i="10"/>
  <c r="I264" i="10"/>
  <c r="G44" i="13"/>
  <c r="G38" i="13"/>
  <c r="E36" i="13"/>
  <c r="E48" i="13"/>
  <c r="E55" i="13"/>
  <c r="E52" i="13"/>
  <c r="E49" i="13"/>
  <c r="G44" i="10"/>
  <c r="G25" i="14" s="1"/>
  <c r="E43" i="14"/>
  <c r="E22" i="17"/>
  <c r="K20" i="16"/>
  <c r="G48" i="18"/>
  <c r="D58" i="18"/>
  <c r="D62" i="18" s="1"/>
  <c r="E196" i="10"/>
  <c r="F194" i="10" s="1"/>
  <c r="F196" i="10" s="1"/>
  <c r="G194" i="10" s="1"/>
  <c r="G196" i="10" s="1"/>
  <c r="H194" i="10" s="1"/>
  <c r="H196" i="10" s="1"/>
  <c r="I194" i="10" s="1"/>
  <c r="E179" i="10"/>
  <c r="F177" i="10" s="1"/>
  <c r="F179" i="10" s="1"/>
  <c r="G177" i="10" s="1"/>
  <c r="G179" i="10" s="1"/>
  <c r="H177" i="10" s="1"/>
  <c r="I20" i="16"/>
  <c r="E48" i="18"/>
  <c r="G45" i="4"/>
  <c r="H270" i="10"/>
  <c r="F54" i="13"/>
  <c r="J20" i="16"/>
  <c r="F48" i="18"/>
  <c r="E187" i="10"/>
  <c r="F185" i="10" s="1"/>
  <c r="F187" i="10" s="1"/>
  <c r="G185" i="10" s="1"/>
  <c r="G187" i="10" s="1"/>
  <c r="H185" i="10" s="1"/>
  <c r="H187" i="10" s="1"/>
  <c r="I185" i="10" s="1"/>
  <c r="I187" i="10" s="1"/>
  <c r="G18" i="13"/>
  <c r="G20" i="13"/>
  <c r="E15" i="13"/>
  <c r="E21" i="13"/>
  <c r="E16" i="13"/>
  <c r="D45" i="4"/>
  <c r="I173" i="10"/>
  <c r="G33" i="5"/>
  <c r="G16" i="13"/>
  <c r="G13" i="13"/>
  <c r="G27" i="13"/>
  <c r="F19" i="5"/>
  <c r="E27" i="13"/>
  <c r="E13" i="13"/>
  <c r="H53" i="10"/>
  <c r="I99" i="10"/>
  <c r="G41" i="13"/>
  <c r="G39" i="13"/>
  <c r="E37" i="13"/>
  <c r="H54" i="13"/>
  <c r="E53" i="13"/>
  <c r="G12" i="13"/>
  <c r="E65" i="10"/>
  <c r="E18" i="14" s="1"/>
  <c r="G42" i="10"/>
  <c r="G23" i="14" s="1"/>
  <c r="G160" i="10"/>
  <c r="G38" i="14" s="1"/>
  <c r="F129" i="10"/>
  <c r="G127" i="10" s="1"/>
  <c r="G129" i="10" s="1"/>
  <c r="H127" i="10" s="1"/>
  <c r="H129" i="10" s="1"/>
  <c r="I127" i="10" s="1"/>
  <c r="E41" i="18"/>
  <c r="E79" i="18"/>
  <c r="H68" i="10"/>
  <c r="H47" i="10"/>
  <c r="H215" i="10"/>
  <c r="I190" i="10"/>
  <c r="I215" i="10"/>
  <c r="I150" i="10"/>
  <c r="G263" i="10"/>
  <c r="G249" i="10"/>
  <c r="H8" i="5"/>
  <c r="G173" i="10"/>
  <c r="G9" i="5"/>
  <c r="I191" i="10"/>
  <c r="G38" i="10"/>
  <c r="H281" i="10"/>
  <c r="G9" i="13"/>
  <c r="G32" i="13" s="1"/>
  <c r="I9" i="5"/>
  <c r="G264" i="10"/>
  <c r="I250" i="10"/>
  <c r="G281" i="10"/>
  <c r="G69" i="10"/>
  <c r="I47" i="10"/>
  <c r="G47" i="10"/>
  <c r="G215" i="10"/>
  <c r="I37" i="10"/>
  <c r="I38" i="10"/>
  <c r="F10" i="10"/>
  <c r="F282" i="10" s="1"/>
  <c r="G68" i="10"/>
  <c r="I282" i="10"/>
  <c r="I68" i="10"/>
  <c r="H173" i="10"/>
  <c r="I149" i="10"/>
  <c r="I174" i="10"/>
  <c r="I69" i="10"/>
  <c r="I263" i="10"/>
  <c r="I249" i="10"/>
  <c r="J10" i="10"/>
  <c r="H14" i="10"/>
  <c r="H14" i="13" s="1"/>
  <c r="H15" i="5"/>
  <c r="H16" i="5" s="1"/>
  <c r="H25" i="5" s="1"/>
  <c r="H55" i="13"/>
  <c r="H48" i="13"/>
  <c r="H38" i="13"/>
  <c r="H15" i="13"/>
  <c r="H42" i="10"/>
  <c r="H23" i="14" s="1"/>
  <c r="H51" i="13"/>
  <c r="H20" i="13"/>
  <c r="H50" i="13"/>
  <c r="H24" i="13"/>
  <c r="H160" i="10"/>
  <c r="H38" i="14" s="1"/>
  <c r="H37" i="13"/>
  <c r="H41" i="13"/>
  <c r="H21" i="13"/>
  <c r="H16" i="13"/>
  <c r="H41" i="10"/>
  <c r="H22" i="14" s="1"/>
  <c r="H36" i="13"/>
  <c r="H22" i="13"/>
  <c r="H49" i="13"/>
  <c r="H53" i="13"/>
  <c r="H115" i="10"/>
  <c r="H116" i="10" s="1"/>
  <c r="H32" i="14" s="1"/>
  <c r="H39" i="13"/>
  <c r="H44" i="13"/>
  <c r="H18" i="13"/>
  <c r="H44" i="10"/>
  <c r="H25" i="14" s="1"/>
  <c r="H12" i="13"/>
  <c r="H52" i="13"/>
  <c r="H27" i="13"/>
  <c r="H13" i="13"/>
  <c r="H18" i="16"/>
  <c r="H17" i="16"/>
  <c r="E26" i="16"/>
  <c r="D19" i="5"/>
  <c r="N19" i="5" s="1"/>
  <c r="I15" i="4"/>
  <c r="O26" i="5" s="1"/>
  <c r="F270" i="10"/>
  <c r="D35" i="13"/>
  <c r="D43" i="13"/>
  <c r="D41" i="13"/>
  <c r="D37" i="13"/>
  <c r="F51" i="13"/>
  <c r="G20" i="5"/>
  <c r="E63" i="10"/>
  <c r="E15" i="14" s="1"/>
  <c r="D42" i="10"/>
  <c r="D23" i="14" s="1"/>
  <c r="D169" i="10"/>
  <c r="E41" i="14" s="1"/>
  <c r="E144" i="10"/>
  <c r="E146" i="10" s="1"/>
  <c r="E36" i="14" s="1"/>
  <c r="E113" i="10"/>
  <c r="F111" i="10" s="1"/>
  <c r="F113" i="10" s="1"/>
  <c r="G111" i="10" s="1"/>
  <c r="G113" i="10" s="1"/>
  <c r="H111" i="10" s="1"/>
  <c r="H113" i="10" s="1"/>
  <c r="I111" i="10" s="1"/>
  <c r="D12" i="13"/>
  <c r="D22" i="13"/>
  <c r="D24" i="13"/>
  <c r="D90" i="10"/>
  <c r="D50" i="13"/>
  <c r="D139" i="10"/>
  <c r="D35" i="14" s="1"/>
  <c r="E155" i="10"/>
  <c r="E157" i="10" s="1"/>
  <c r="E163" i="10" s="1"/>
  <c r="E40" i="14" s="1"/>
  <c r="E19" i="5"/>
  <c r="D18" i="13"/>
  <c r="F45" i="4"/>
  <c r="G250" i="10"/>
  <c r="D42" i="13"/>
  <c r="D38" i="13"/>
  <c r="D55" i="13"/>
  <c r="D44" i="10"/>
  <c r="D25" i="14" s="1"/>
  <c r="D146" i="10"/>
  <c r="D36" i="14" s="1"/>
  <c r="H25" i="16"/>
  <c r="H16" i="16"/>
  <c r="G233" i="10"/>
  <c r="E121" i="10"/>
  <c r="F119" i="10" s="1"/>
  <c r="F121" i="10" s="1"/>
  <c r="G119" i="10" s="1"/>
  <c r="G121" i="10" s="1"/>
  <c r="H119" i="10" s="1"/>
  <c r="H121" i="10" s="1"/>
  <c r="I119" i="10" s="1"/>
  <c r="N18" i="5"/>
  <c r="D20" i="13"/>
  <c r="D21" i="13"/>
  <c r="I43" i="4"/>
  <c r="G216" i="10"/>
  <c r="D52" i="13"/>
  <c r="D51" i="13"/>
  <c r="F65" i="10"/>
  <c r="F18" i="14" s="1"/>
  <c r="D41" i="10"/>
  <c r="D22" i="14" s="1"/>
  <c r="H15" i="16"/>
  <c r="G227" i="10"/>
  <c r="G20" i="16" s="1"/>
  <c r="G156" i="10"/>
  <c r="H156" i="10" s="1"/>
  <c r="D28" i="5"/>
  <c r="D11" i="5"/>
  <c r="E44" i="4"/>
  <c r="G174" i="10"/>
  <c r="D44" i="13"/>
  <c r="D39" i="13"/>
  <c r="D48" i="13"/>
  <c r="D56" i="13"/>
  <c r="D15" i="13"/>
  <c r="F48" i="10"/>
  <c r="D53" i="13"/>
  <c r="D49" i="13"/>
  <c r="D15" i="5"/>
  <c r="D16" i="5" s="1"/>
  <c r="D26" i="5" s="1"/>
  <c r="D108" i="10"/>
  <c r="D31" i="14" s="1"/>
  <c r="O18" i="5"/>
  <c r="O19" i="5"/>
  <c r="G25" i="5"/>
  <c r="G26" i="5"/>
  <c r="N23" i="5"/>
  <c r="G23" i="10"/>
  <c r="G34" i="5"/>
  <c r="G19" i="13"/>
  <c r="G42" i="5"/>
  <c r="G41" i="5"/>
  <c r="J185" i="10"/>
  <c r="J187" i="10" s="1"/>
  <c r="I89" i="10"/>
  <c r="I269" i="10" s="1"/>
  <c r="N20" i="5"/>
  <c r="G54" i="13"/>
  <c r="I41" i="4"/>
  <c r="E45" i="4"/>
  <c r="E43" i="13"/>
  <c r="E25" i="5"/>
  <c r="J9" i="10"/>
  <c r="K10" i="10"/>
  <c r="H20" i="16"/>
  <c r="E33" i="10"/>
  <c r="F209" i="10"/>
  <c r="F211" i="10" s="1"/>
  <c r="G240" i="10"/>
  <c r="G29" i="16"/>
  <c r="G31" i="16" s="1"/>
  <c r="H43" i="14"/>
  <c r="H237" i="10"/>
  <c r="H30" i="16" s="1"/>
  <c r="H31" i="16" s="1"/>
  <c r="N22" i="5"/>
  <c r="H44" i="4"/>
  <c r="G51" i="13"/>
  <c r="H40" i="10"/>
  <c r="H21" i="14" s="1"/>
  <c r="H17" i="10"/>
  <c r="G44" i="4"/>
  <c r="F32" i="17"/>
  <c r="G33" i="17"/>
  <c r="D74" i="18"/>
  <c r="F233" i="10"/>
  <c r="F24" i="16"/>
  <c r="F26" i="16" s="1"/>
  <c r="F135" i="10"/>
  <c r="F137" i="10" s="1"/>
  <c r="E139" i="10"/>
  <c r="E35" i="14" s="1"/>
  <c r="H179" i="10"/>
  <c r="I177" i="10" s="1"/>
  <c r="D44" i="4"/>
  <c r="F44" i="4"/>
  <c r="F14" i="10"/>
  <c r="F160" i="10"/>
  <c r="F38" i="14" s="1"/>
  <c r="F115" i="10"/>
  <c r="F116" i="10" s="1"/>
  <c r="F32" i="14" s="1"/>
  <c r="F41" i="10"/>
  <c r="F22" i="14" s="1"/>
  <c r="F42" i="10"/>
  <c r="F23" i="14" s="1"/>
  <c r="F44" i="10"/>
  <c r="F25" i="14" s="1"/>
  <c r="E71" i="10"/>
  <c r="F104" i="10"/>
  <c r="F106" i="10" s="1"/>
  <c r="E108" i="10"/>
  <c r="E31" i="14" s="1"/>
  <c r="F22" i="17"/>
  <c r="G23" i="17"/>
  <c r="G8" i="5"/>
  <c r="F9" i="10"/>
  <c r="F4" i="4" s="1"/>
  <c r="E41" i="10"/>
  <c r="E22" i="14" s="1"/>
  <c r="E14" i="10"/>
  <c r="E42" i="10"/>
  <c r="E23" i="14" s="1"/>
  <c r="E44" i="10"/>
  <c r="E25" i="14" s="1"/>
  <c r="E160" i="10"/>
  <c r="E38" i="14" s="1"/>
  <c r="F166" i="10"/>
  <c r="F168" i="10" s="1"/>
  <c r="E169" i="10"/>
  <c r="F41" i="14" s="1"/>
  <c r="F297" i="10"/>
  <c r="G295" i="10" s="1"/>
  <c r="G297" i="10" s="1"/>
  <c r="H295" i="10" s="1"/>
  <c r="H297" i="10" s="1"/>
  <c r="I295" i="10" s="1"/>
  <c r="M20" i="16"/>
  <c r="F153" i="10"/>
  <c r="F155" i="10" s="1"/>
  <c r="D157" i="10"/>
  <c r="J10" i="16"/>
  <c r="I9" i="16"/>
  <c r="E240" i="10"/>
  <c r="G78" i="10"/>
  <c r="I179" i="10"/>
  <c r="J177" i="10" s="1"/>
  <c r="J179" i="10" s="1"/>
  <c r="E32" i="17"/>
  <c r="I284" i="10"/>
  <c r="M41" i="14"/>
  <c r="M169" i="10" s="1"/>
  <c r="J62" i="10"/>
  <c r="K62" i="10" s="1"/>
  <c r="L62" i="10" s="1"/>
  <c r="M62" i="10" s="1"/>
  <c r="F17" i="18"/>
  <c r="F42" i="18" s="1"/>
  <c r="E16" i="18"/>
  <c r="K41" i="14"/>
  <c r="K169" i="10" s="1"/>
  <c r="L41" i="14"/>
  <c r="L169" i="10" s="1"/>
  <c r="J41" i="14"/>
  <c r="J169" i="10" s="1"/>
  <c r="I27" i="14"/>
  <c r="I34" i="10" s="1"/>
  <c r="M27" i="14"/>
  <c r="M34" i="10" s="1"/>
  <c r="L27" i="14"/>
  <c r="L34" i="10" s="1"/>
  <c r="J27" i="14"/>
  <c r="J34" i="10" s="1"/>
  <c r="M21" i="14"/>
  <c r="M40" i="10" s="1"/>
  <c r="L21" i="14"/>
  <c r="L40" i="10" s="1"/>
  <c r="K21" i="14"/>
  <c r="K40" i="10" s="1"/>
  <c r="J21" i="14"/>
  <c r="J40" i="10" s="1"/>
  <c r="J17" i="14"/>
  <c r="J59" i="10" s="1"/>
  <c r="M17" i="14"/>
  <c r="M59" i="10" s="1"/>
  <c r="K17" i="14"/>
  <c r="K59" i="10" s="1"/>
  <c r="I17" i="14"/>
  <c r="I59" i="10" s="1"/>
  <c r="I58" i="10" s="1"/>
  <c r="M18" i="14"/>
  <c r="M65" i="10" s="1"/>
  <c r="K18" i="14"/>
  <c r="K65" i="10" s="1"/>
  <c r="I18" i="14"/>
  <c r="I65" i="10" s="1"/>
  <c r="I64" i="10" s="1"/>
  <c r="J64" i="10" s="1"/>
  <c r="L18" i="14"/>
  <c r="L65" i="10" s="1"/>
  <c r="L38" i="14"/>
  <c r="L160" i="10" s="1"/>
  <c r="J38" i="14"/>
  <c r="J160" i="10" s="1"/>
  <c r="M38" i="14"/>
  <c r="M160" i="10" s="1"/>
  <c r="K38" i="14"/>
  <c r="K160" i="10" s="1"/>
  <c r="I9" i="14"/>
  <c r="J10" i="14"/>
  <c r="H9" i="14"/>
  <c r="G10" i="14"/>
  <c r="D17" i="10" l="1"/>
  <c r="F9" i="5"/>
  <c r="H26" i="16"/>
  <c r="F79" i="10"/>
  <c r="F43" i="13" s="1"/>
  <c r="F42" i="13"/>
  <c r="F79" i="18"/>
  <c r="F41" i="18"/>
  <c r="I88" i="10"/>
  <c r="E102" i="18" s="1"/>
  <c r="D40" i="10"/>
  <c r="D21" i="14" s="1"/>
  <c r="H26" i="5"/>
  <c r="F240" i="10"/>
  <c r="F69" i="10"/>
  <c r="E78" i="18"/>
  <c r="E82" i="18"/>
  <c r="E83" i="18" s="1"/>
  <c r="D40" i="13"/>
  <c r="G149" i="10"/>
  <c r="G4" i="4"/>
  <c r="G99" i="10"/>
  <c r="G190" i="10"/>
  <c r="G37" i="10"/>
  <c r="F191" i="10"/>
  <c r="F250" i="10"/>
  <c r="D12" i="5"/>
  <c r="F38" i="13"/>
  <c r="F44" i="13"/>
  <c r="F16" i="13"/>
  <c r="F21" i="13"/>
  <c r="F20" i="13"/>
  <c r="F18" i="13"/>
  <c r="F49" i="13"/>
  <c r="F52" i="13"/>
  <c r="F55" i="13"/>
  <c r="F48" i="13"/>
  <c r="F36" i="13"/>
  <c r="F15" i="5"/>
  <c r="F16" i="5" s="1"/>
  <c r="F50" i="13"/>
  <c r="F53" i="13"/>
  <c r="F37" i="13"/>
  <c r="F12" i="13"/>
  <c r="F41" i="13"/>
  <c r="F22" i="13"/>
  <c r="F15" i="13"/>
  <c r="F27" i="13"/>
  <c r="F13" i="13"/>
  <c r="F28" i="5"/>
  <c r="F24" i="13"/>
  <c r="F39" i="13"/>
  <c r="J48" i="10"/>
  <c r="J191" i="10"/>
  <c r="J174" i="10"/>
  <c r="J282" i="10"/>
  <c r="J69" i="10"/>
  <c r="J216" i="10"/>
  <c r="J100" i="10"/>
  <c r="J250" i="10"/>
  <c r="J9" i="5"/>
  <c r="J150" i="10"/>
  <c r="J264" i="10"/>
  <c r="J38" i="10"/>
  <c r="F10" i="13"/>
  <c r="F33" i="13" s="1"/>
  <c r="F150" i="10"/>
  <c r="F264" i="10"/>
  <c r="F216" i="10"/>
  <c r="F100" i="10"/>
  <c r="F174" i="10"/>
  <c r="F38" i="10"/>
  <c r="E10" i="10"/>
  <c r="E10" i="13" s="1"/>
  <c r="E33" i="13" s="1"/>
  <c r="D25" i="5"/>
  <c r="D10" i="10"/>
  <c r="E38" i="10"/>
  <c r="E191" i="10"/>
  <c r="E69" i="10"/>
  <c r="E264" i="10"/>
  <c r="E150" i="10"/>
  <c r="N15" i="5"/>
  <c r="D94" i="10"/>
  <c r="D54" i="13"/>
  <c r="I45" i="4"/>
  <c r="O37" i="5" s="1"/>
  <c r="O61" i="5" s="1"/>
  <c r="F142" i="10"/>
  <c r="F144" i="10" s="1"/>
  <c r="F146" i="10" s="1"/>
  <c r="F36" i="14" s="1"/>
  <c r="I182" i="10"/>
  <c r="I21" i="10" s="1"/>
  <c r="E72" i="18" s="1"/>
  <c r="D73" i="18"/>
  <c r="N16" i="5"/>
  <c r="D19" i="10"/>
  <c r="D17" i="13"/>
  <c r="D33" i="5"/>
  <c r="G25" i="10"/>
  <c r="G43" i="10"/>
  <c r="G23" i="13"/>
  <c r="G135" i="10"/>
  <c r="G137" i="10" s="1"/>
  <c r="F139" i="10"/>
  <c r="F35" i="14" s="1"/>
  <c r="G153" i="10"/>
  <c r="G155" i="10" s="1"/>
  <c r="F157" i="10"/>
  <c r="F163" i="10" s="1"/>
  <c r="F40" i="14" s="1"/>
  <c r="H19" i="10"/>
  <c r="H33" i="5"/>
  <c r="H17" i="13"/>
  <c r="K9" i="10"/>
  <c r="L10" i="10"/>
  <c r="K264" i="10"/>
  <c r="K48" i="10"/>
  <c r="K69" i="10"/>
  <c r="K250" i="10"/>
  <c r="K38" i="10"/>
  <c r="K191" i="10"/>
  <c r="K216" i="10"/>
  <c r="K9" i="5"/>
  <c r="K100" i="10"/>
  <c r="K282" i="10"/>
  <c r="K150" i="10"/>
  <c r="K174" i="10"/>
  <c r="G22" i="17"/>
  <c r="H23" i="17"/>
  <c r="H78" i="10"/>
  <c r="G79" i="10"/>
  <c r="G42" i="13"/>
  <c r="G142" i="10"/>
  <c r="G144" i="10" s="1"/>
  <c r="E40" i="10"/>
  <c r="E21" i="14" s="1"/>
  <c r="E17" i="10"/>
  <c r="E14" i="13"/>
  <c r="G104" i="10"/>
  <c r="G106" i="10" s="1"/>
  <c r="F108" i="10"/>
  <c r="F31" i="14" s="1"/>
  <c r="F71" i="10"/>
  <c r="F17" i="10"/>
  <c r="F40" i="10"/>
  <c r="F21" i="14" s="1"/>
  <c r="F14" i="13"/>
  <c r="J8" i="5"/>
  <c r="J99" i="10"/>
  <c r="J190" i="10"/>
  <c r="J149" i="10"/>
  <c r="J215" i="10"/>
  <c r="J47" i="10"/>
  <c r="J281" i="10"/>
  <c r="J37" i="10"/>
  <c r="J263" i="10"/>
  <c r="J68" i="10"/>
  <c r="J249" i="10"/>
  <c r="J173" i="10"/>
  <c r="E76" i="10"/>
  <c r="E304" i="10"/>
  <c r="E305" i="10" s="1"/>
  <c r="F303" i="10" s="1"/>
  <c r="E253" i="10"/>
  <c r="E257" i="10" s="1"/>
  <c r="E260" i="10" s="1"/>
  <c r="E35" i="13"/>
  <c r="H240" i="10"/>
  <c r="F8" i="5"/>
  <c r="E9" i="10"/>
  <c r="E4" i="4" s="1"/>
  <c r="F263" i="10"/>
  <c r="F37" i="10"/>
  <c r="F281" i="10"/>
  <c r="F249" i="10"/>
  <c r="F215" i="10"/>
  <c r="F173" i="10"/>
  <c r="F47" i="10"/>
  <c r="F149" i="10"/>
  <c r="F9" i="13"/>
  <c r="F32" i="13" s="1"/>
  <c r="F190" i="10"/>
  <c r="F99" i="10"/>
  <c r="F68" i="10"/>
  <c r="I44" i="4"/>
  <c r="O36" i="5" s="1"/>
  <c r="O60" i="5" s="1"/>
  <c r="F33" i="10"/>
  <c r="G209" i="10"/>
  <c r="G211" i="10" s="1"/>
  <c r="F48" i="5"/>
  <c r="F52" i="5" s="1"/>
  <c r="G166" i="10"/>
  <c r="G168" i="10" s="1"/>
  <c r="F169" i="10"/>
  <c r="G41" i="14" s="1"/>
  <c r="H33" i="17"/>
  <c r="G32" i="17"/>
  <c r="K10" i="16"/>
  <c r="J9" i="16"/>
  <c r="K185" i="10"/>
  <c r="K187" i="10" s="1"/>
  <c r="J89" i="10"/>
  <c r="J269" i="10" s="1"/>
  <c r="J182" i="10"/>
  <c r="J21" i="10" s="1"/>
  <c r="F72" i="18" s="1"/>
  <c r="J284" i="10"/>
  <c r="J88" i="10"/>
  <c r="F102" i="18" s="1"/>
  <c r="K177" i="10"/>
  <c r="K179" i="10" s="1"/>
  <c r="K182" i="10" s="1"/>
  <c r="K21" i="10" s="1"/>
  <c r="G72" i="18" s="1"/>
  <c r="K64" i="10"/>
  <c r="L64" i="10" s="1"/>
  <c r="M64" i="10" s="1"/>
  <c r="J58" i="10"/>
  <c r="K58" i="10" s="1"/>
  <c r="F16" i="18"/>
  <c r="G17" i="18"/>
  <c r="G42" i="18" s="1"/>
  <c r="I51" i="10"/>
  <c r="G9" i="14"/>
  <c r="F10" i="14"/>
  <c r="K10" i="14"/>
  <c r="J9" i="14"/>
  <c r="D45" i="5" l="1"/>
  <c r="D45" i="13"/>
  <c r="D29" i="5"/>
  <c r="D58" i="5" s="1"/>
  <c r="F78" i="18"/>
  <c r="F82" i="18"/>
  <c r="F83" i="18" s="1"/>
  <c r="G79" i="18"/>
  <c r="G41" i="18"/>
  <c r="E100" i="10"/>
  <c r="E282" i="10"/>
  <c r="N25" i="5"/>
  <c r="D44" i="5"/>
  <c r="F26" i="5"/>
  <c r="N26" i="5" s="1"/>
  <c r="F25" i="5"/>
  <c r="E9" i="5"/>
  <c r="E48" i="10"/>
  <c r="E250" i="10"/>
  <c r="E174" i="10"/>
  <c r="E216" i="10"/>
  <c r="D48" i="10"/>
  <c r="D250" i="10"/>
  <c r="D69" i="10"/>
  <c r="D150" i="10"/>
  <c r="D282" i="10"/>
  <c r="D10" i="13"/>
  <c r="D33" i="13" s="1"/>
  <c r="D216" i="10"/>
  <c r="D191" i="10"/>
  <c r="D264" i="10"/>
  <c r="D38" i="10"/>
  <c r="D174" i="10"/>
  <c r="D9" i="5"/>
  <c r="D100" i="10"/>
  <c r="D58" i="13"/>
  <c r="D96" i="10"/>
  <c r="F19" i="10"/>
  <c r="F33" i="5"/>
  <c r="F17" i="13"/>
  <c r="G33" i="10"/>
  <c r="G48" i="5"/>
  <c r="G52" i="5" s="1"/>
  <c r="H209" i="10"/>
  <c r="H211" i="10" s="1"/>
  <c r="E8" i="5"/>
  <c r="D9" i="10"/>
  <c r="D4" i="4" s="1"/>
  <c r="E173" i="10"/>
  <c r="E47" i="10"/>
  <c r="E249" i="10"/>
  <c r="E190" i="10"/>
  <c r="E99" i="10"/>
  <c r="E9" i="13"/>
  <c r="E32" i="13" s="1"/>
  <c r="E149" i="10"/>
  <c r="E37" i="10"/>
  <c r="E68" i="10"/>
  <c r="E281" i="10"/>
  <c r="E215" i="10"/>
  <c r="E263" i="10"/>
  <c r="E81" i="10"/>
  <c r="E40" i="13"/>
  <c r="E12" i="5"/>
  <c r="E11" i="5"/>
  <c r="F304" i="10"/>
  <c r="F76" i="10"/>
  <c r="F253" i="10"/>
  <c r="F257" i="10" s="1"/>
  <c r="F260" i="10" s="1"/>
  <c r="F35" i="13"/>
  <c r="L10" i="16"/>
  <c r="K9" i="16"/>
  <c r="G43" i="13"/>
  <c r="G28" i="5"/>
  <c r="M10" i="10"/>
  <c r="L9" i="10"/>
  <c r="L48" i="10"/>
  <c r="L264" i="10"/>
  <c r="L150" i="10"/>
  <c r="L100" i="10"/>
  <c r="L282" i="10"/>
  <c r="L250" i="10"/>
  <c r="L216" i="10"/>
  <c r="L69" i="10"/>
  <c r="L174" i="10"/>
  <c r="L9" i="5"/>
  <c r="L191" i="10"/>
  <c r="L38" i="10"/>
  <c r="G139" i="10"/>
  <c r="G35" i="14" s="1"/>
  <c r="H135" i="10"/>
  <c r="H137" i="10" s="1"/>
  <c r="G157" i="10"/>
  <c r="G163" i="10" s="1"/>
  <c r="G40" i="14" s="1"/>
  <c r="H153" i="10"/>
  <c r="H155" i="10" s="1"/>
  <c r="H104" i="10"/>
  <c r="H106" i="10" s="1"/>
  <c r="G108" i="10"/>
  <c r="G31" i="14" s="1"/>
  <c r="G71" i="10"/>
  <c r="H79" i="10"/>
  <c r="H42" i="13"/>
  <c r="K8" i="5"/>
  <c r="K149" i="10"/>
  <c r="K173" i="10"/>
  <c r="K99" i="10"/>
  <c r="K68" i="10"/>
  <c r="K249" i="10"/>
  <c r="K37" i="10"/>
  <c r="K281" i="10"/>
  <c r="K47" i="10"/>
  <c r="K263" i="10"/>
  <c r="K215" i="10"/>
  <c r="K190" i="10"/>
  <c r="H22" i="17"/>
  <c r="I23" i="17"/>
  <c r="I22" i="17" s="1"/>
  <c r="G13" i="16"/>
  <c r="G24" i="14"/>
  <c r="K89" i="10"/>
  <c r="K269" i="10" s="1"/>
  <c r="L185" i="10"/>
  <c r="L187" i="10" s="1"/>
  <c r="H142" i="10"/>
  <c r="H144" i="10" s="1"/>
  <c r="G146" i="10"/>
  <c r="G36" i="14" s="1"/>
  <c r="I33" i="17"/>
  <c r="I32" i="17" s="1"/>
  <c r="H32" i="17"/>
  <c r="E19" i="10"/>
  <c r="E17" i="13"/>
  <c r="E33" i="5"/>
  <c r="G35" i="5"/>
  <c r="G57" i="5" s="1"/>
  <c r="G32" i="10"/>
  <c r="G206" i="10" s="1"/>
  <c r="G49" i="14" s="1"/>
  <c r="G200" i="10"/>
  <c r="G12" i="16"/>
  <c r="G219" i="10"/>
  <c r="G228" i="10" s="1"/>
  <c r="G242" i="10" s="1"/>
  <c r="G245" i="10" s="1"/>
  <c r="G28" i="10"/>
  <c r="G28" i="13" s="1"/>
  <c r="G272" i="10"/>
  <c r="G275" i="10" s="1"/>
  <c r="G276" i="10" s="1"/>
  <c r="G49" i="5"/>
  <c r="G25" i="13"/>
  <c r="G32" i="5"/>
  <c r="G53" i="5" s="1"/>
  <c r="F305" i="10"/>
  <c r="G303" i="10" s="1"/>
  <c r="H23" i="10"/>
  <c r="H19" i="13"/>
  <c r="H34" i="5"/>
  <c r="H41" i="5"/>
  <c r="H42" i="5"/>
  <c r="D23" i="10"/>
  <c r="D41" i="5"/>
  <c r="D34" i="5"/>
  <c r="D42" i="5"/>
  <c r="D19" i="13"/>
  <c r="G169" i="10"/>
  <c r="H41" i="14" s="1"/>
  <c r="H166" i="10"/>
  <c r="H168" i="10" s="1"/>
  <c r="L177" i="10"/>
  <c r="L179" i="10" s="1"/>
  <c r="L182" i="10" s="1"/>
  <c r="L21" i="10" s="1"/>
  <c r="H72" i="18" s="1"/>
  <c r="K284" i="10"/>
  <c r="K88" i="10"/>
  <c r="G102" i="18" s="1"/>
  <c r="J51" i="10"/>
  <c r="G16" i="18"/>
  <c r="H17" i="18"/>
  <c r="H42" i="18" s="1"/>
  <c r="K51" i="10"/>
  <c r="L58" i="10"/>
  <c r="K9" i="14"/>
  <c r="L10" i="14"/>
  <c r="E10" i="14"/>
  <c r="F9" i="14"/>
  <c r="H79" i="18" l="1"/>
  <c r="H41" i="18"/>
  <c r="G21" i="16"/>
  <c r="G33" i="16" s="1"/>
  <c r="G36" i="16" s="1"/>
  <c r="N33" i="5"/>
  <c r="G78" i="18"/>
  <c r="G82" i="18"/>
  <c r="G83" i="18" s="1"/>
  <c r="G34" i="10"/>
  <c r="G27" i="14" s="1"/>
  <c r="H139" i="10"/>
  <c r="H35" i="14" s="1"/>
  <c r="I135" i="10"/>
  <c r="N28" i="5"/>
  <c r="F81" i="10"/>
  <c r="F40" i="13"/>
  <c r="F12" i="5"/>
  <c r="F11" i="5"/>
  <c r="E23" i="10"/>
  <c r="E42" i="5"/>
  <c r="E34" i="5"/>
  <c r="E41" i="5"/>
  <c r="E19" i="13"/>
  <c r="H43" i="13"/>
  <c r="H28" i="5"/>
  <c r="M9" i="10"/>
  <c r="M191" i="10"/>
  <c r="M100" i="10"/>
  <c r="M264" i="10"/>
  <c r="M150" i="10"/>
  <c r="M48" i="10"/>
  <c r="M282" i="10"/>
  <c r="M250" i="10"/>
  <c r="M216" i="10"/>
  <c r="M38" i="10"/>
  <c r="M9" i="5"/>
  <c r="M174" i="10"/>
  <c r="M69" i="10"/>
  <c r="G76" i="10"/>
  <c r="G304" i="10"/>
  <c r="G305" i="10" s="1"/>
  <c r="H303" i="10" s="1"/>
  <c r="G253" i="10"/>
  <c r="G257" i="10" s="1"/>
  <c r="G260" i="10" s="1"/>
  <c r="G277" i="10" s="1"/>
  <c r="G35" i="13"/>
  <c r="I142" i="10"/>
  <c r="H146" i="10"/>
  <c r="H36" i="14" s="1"/>
  <c r="D249" i="10"/>
  <c r="D68" i="10"/>
  <c r="D215" i="10"/>
  <c r="D173" i="10"/>
  <c r="D8" i="5"/>
  <c r="D37" i="10"/>
  <c r="D190" i="10"/>
  <c r="D47" i="10"/>
  <c r="D99" i="10"/>
  <c r="D9" i="13"/>
  <c r="D32" i="13" s="1"/>
  <c r="D281" i="10"/>
  <c r="D149" i="10"/>
  <c r="D263" i="10"/>
  <c r="I166" i="10"/>
  <c r="H169" i="10"/>
  <c r="H43" i="10"/>
  <c r="D46" i="18" s="1"/>
  <c r="D47" i="18" s="1"/>
  <c r="H25" i="10"/>
  <c r="H23" i="13"/>
  <c r="L89" i="10"/>
  <c r="L269" i="10" s="1"/>
  <c r="M185" i="10"/>
  <c r="M187" i="10" s="1"/>
  <c r="M89" i="10" s="1"/>
  <c r="M269" i="10" s="1"/>
  <c r="I104" i="10"/>
  <c r="H71" i="10"/>
  <c r="D103" i="18" s="1"/>
  <c r="D105" i="18" s="1"/>
  <c r="H108" i="10"/>
  <c r="H31" i="14" s="1"/>
  <c r="L9" i="16"/>
  <c r="M10" i="16"/>
  <c r="M9" i="16" s="1"/>
  <c r="I153" i="10"/>
  <c r="H157" i="10"/>
  <c r="E45" i="13"/>
  <c r="E44" i="5"/>
  <c r="E29" i="5"/>
  <c r="I209" i="10"/>
  <c r="I211" i="10" s="1"/>
  <c r="H33" i="10"/>
  <c r="H48" i="5"/>
  <c r="H52" i="5" s="1"/>
  <c r="N52" i="5" s="1"/>
  <c r="F23" i="10"/>
  <c r="F34" i="5"/>
  <c r="N34" i="5" s="1"/>
  <c r="F41" i="5"/>
  <c r="N41" i="5" s="1"/>
  <c r="F42" i="5"/>
  <c r="F19" i="13"/>
  <c r="D25" i="10"/>
  <c r="D43" i="10"/>
  <c r="D24" i="14" s="1"/>
  <c r="D23" i="13"/>
  <c r="L249" i="10"/>
  <c r="L149" i="10"/>
  <c r="L99" i="10"/>
  <c r="L281" i="10"/>
  <c r="L173" i="10"/>
  <c r="L190" i="10"/>
  <c r="L47" i="10"/>
  <c r="L37" i="10"/>
  <c r="L68" i="10"/>
  <c r="L8" i="5"/>
  <c r="L263" i="10"/>
  <c r="L215" i="10"/>
  <c r="L88" i="10"/>
  <c r="H102" i="18" s="1"/>
  <c r="L284" i="10"/>
  <c r="M177" i="10"/>
  <c r="M179" i="10" s="1"/>
  <c r="M182" i="10" s="1"/>
  <c r="M21" i="10" s="1"/>
  <c r="I72" i="18" s="1"/>
  <c r="I17" i="18"/>
  <c r="H16" i="18"/>
  <c r="L51" i="10"/>
  <c r="M58" i="10"/>
  <c r="M51" i="10" s="1"/>
  <c r="D10" i="14"/>
  <c r="D9" i="14" s="1"/>
  <c r="E9" i="14"/>
  <c r="M10" i="14"/>
  <c r="M9" i="14" s="1"/>
  <c r="L9" i="14"/>
  <c r="D52" i="18" l="1"/>
  <c r="D109" i="18"/>
  <c r="D29" i="18"/>
  <c r="I16" i="18"/>
  <c r="I42" i="18"/>
  <c r="N42" i="5"/>
  <c r="H78" i="18"/>
  <c r="H82" i="18"/>
  <c r="H83" i="18" s="1"/>
  <c r="J209" i="10"/>
  <c r="J211" i="10" s="1"/>
  <c r="I30" i="10"/>
  <c r="E111" i="18" s="1"/>
  <c r="G81" i="10"/>
  <c r="G40" i="13"/>
  <c r="G12" i="5"/>
  <c r="G11" i="5"/>
  <c r="E58" i="5"/>
  <c r="F45" i="13"/>
  <c r="F44" i="5"/>
  <c r="F29" i="5"/>
  <c r="F58" i="5" s="1"/>
  <c r="H35" i="5"/>
  <c r="H57" i="5" s="1"/>
  <c r="H32" i="10"/>
  <c r="H206" i="10" s="1"/>
  <c r="H49" i="14" s="1"/>
  <c r="H12" i="16"/>
  <c r="H200" i="10"/>
  <c r="H28" i="10"/>
  <c r="H28" i="13" s="1"/>
  <c r="H31" i="10"/>
  <c r="H32" i="5"/>
  <c r="H53" i="5" s="1"/>
  <c r="H25" i="13"/>
  <c r="H272" i="10"/>
  <c r="H275" i="10" s="1"/>
  <c r="H276" i="10" s="1"/>
  <c r="H219" i="10"/>
  <c r="H228" i="10" s="1"/>
  <c r="H242" i="10" s="1"/>
  <c r="H49" i="5"/>
  <c r="F25" i="10"/>
  <c r="F23" i="13"/>
  <c r="F43" i="10"/>
  <c r="H304" i="10"/>
  <c r="H305" i="10" s="1"/>
  <c r="I303" i="10" s="1"/>
  <c r="H76" i="10"/>
  <c r="H253" i="10"/>
  <c r="H257" i="10" s="1"/>
  <c r="H260" i="10" s="1"/>
  <c r="H277" i="10" s="1"/>
  <c r="D37" i="17"/>
  <c r="H35" i="13"/>
  <c r="H24" i="14"/>
  <c r="H13" i="16"/>
  <c r="M8" i="5"/>
  <c r="M99" i="10"/>
  <c r="M249" i="10"/>
  <c r="M149" i="10"/>
  <c r="M173" i="10"/>
  <c r="M281" i="10"/>
  <c r="M47" i="10"/>
  <c r="M68" i="10"/>
  <c r="M37" i="10"/>
  <c r="M215" i="10"/>
  <c r="M263" i="10"/>
  <c r="M190" i="10"/>
  <c r="D35" i="5"/>
  <c r="D32" i="10"/>
  <c r="D32" i="5"/>
  <c r="D53" i="5" s="1"/>
  <c r="D36" i="5"/>
  <c r="D28" i="10"/>
  <c r="D28" i="13" s="1"/>
  <c r="D38" i="5"/>
  <c r="D49" i="5"/>
  <c r="D25" i="13"/>
  <c r="D37" i="5"/>
  <c r="H163" i="10"/>
  <c r="H40" i="14" s="1"/>
  <c r="I162" i="10"/>
  <c r="E43" i="10"/>
  <c r="E25" i="10"/>
  <c r="E23" i="13"/>
  <c r="M88" i="10"/>
  <c r="I102" i="18" s="1"/>
  <c r="M284" i="10"/>
  <c r="I41" i="18" l="1"/>
  <c r="J42" i="18"/>
  <c r="I79" i="18"/>
  <c r="H21" i="16"/>
  <c r="H33" i="16" s="1"/>
  <c r="H36" i="16" s="1"/>
  <c r="D57" i="5"/>
  <c r="H245" i="10"/>
  <c r="D70" i="18"/>
  <c r="G29" i="5"/>
  <c r="G58" i="5" s="1"/>
  <c r="G45" i="13"/>
  <c r="G44" i="5"/>
  <c r="G37" i="5"/>
  <c r="D206" i="10"/>
  <c r="D49" i="14" s="1"/>
  <c r="D34" i="10"/>
  <c r="D27" i="14" s="1"/>
  <c r="F28" i="10"/>
  <c r="F28" i="13" s="1"/>
  <c r="F31" i="10"/>
  <c r="F219" i="10"/>
  <c r="F228" i="10" s="1"/>
  <c r="F242" i="10" s="1"/>
  <c r="F245" i="10" s="1"/>
  <c r="F200" i="10"/>
  <c r="F32" i="10"/>
  <c r="F12" i="16"/>
  <c r="F35" i="5"/>
  <c r="F57" i="5" s="1"/>
  <c r="F49" i="5"/>
  <c r="F32" i="5"/>
  <c r="F53" i="5" s="1"/>
  <c r="F25" i="13"/>
  <c r="F37" i="5"/>
  <c r="F272" i="10"/>
  <c r="F275" i="10" s="1"/>
  <c r="F276" i="10" s="1"/>
  <c r="G31" i="10"/>
  <c r="H81" i="10"/>
  <c r="H12" i="5"/>
  <c r="N12" i="5" s="1"/>
  <c r="H40" i="13"/>
  <c r="H11" i="5"/>
  <c r="N11" i="5" s="1"/>
  <c r="E31" i="10"/>
  <c r="E219" i="10"/>
  <c r="E228" i="10" s="1"/>
  <c r="E242" i="10" s="1"/>
  <c r="E245" i="10" s="1"/>
  <c r="E246" i="10" s="1"/>
  <c r="F244" i="10" s="1"/>
  <c r="F246" i="10" s="1"/>
  <c r="G244" i="10" s="1"/>
  <c r="G246" i="10" s="1"/>
  <c r="H244" i="10" s="1"/>
  <c r="H246" i="10" s="1"/>
  <c r="I244" i="10" s="1"/>
  <c r="E200" i="10"/>
  <c r="E202" i="10" s="1"/>
  <c r="F199" i="10" s="1"/>
  <c r="F202" i="10" s="1"/>
  <c r="G199" i="10" s="1"/>
  <c r="G202" i="10" s="1"/>
  <c r="H199" i="10" s="1"/>
  <c r="H202" i="10" s="1"/>
  <c r="I199" i="10" s="1"/>
  <c r="E12" i="16"/>
  <c r="E35" i="5"/>
  <c r="E57" i="5" s="1"/>
  <c r="E32" i="10"/>
  <c r="E28" i="10"/>
  <c r="E25" i="13"/>
  <c r="E49" i="5"/>
  <c r="E32" i="5"/>
  <c r="E53" i="5" s="1"/>
  <c r="N53" i="5" s="1"/>
  <c r="E37" i="5"/>
  <c r="E272" i="10"/>
  <c r="E275" i="10" s="1"/>
  <c r="E276" i="10" s="1"/>
  <c r="K5" i="15"/>
  <c r="E13" i="16"/>
  <c r="E24" i="14"/>
  <c r="F13" i="16"/>
  <c r="F24" i="14"/>
  <c r="J30" i="10"/>
  <c r="F111" i="18" s="1"/>
  <c r="K209" i="10"/>
  <c r="K211" i="10" s="1"/>
  <c r="I18" i="10"/>
  <c r="I156" i="10"/>
  <c r="I78" i="10" s="1"/>
  <c r="D21" i="18"/>
  <c r="D22" i="18" s="1"/>
  <c r="H34" i="10"/>
  <c r="H27" i="14" s="1"/>
  <c r="I14" i="14"/>
  <c r="I57" i="10" s="1"/>
  <c r="I56" i="10" s="1"/>
  <c r="I50" i="10" s="1"/>
  <c r="J14" i="14"/>
  <c r="J57" i="10" s="1"/>
  <c r="K14" i="14"/>
  <c r="K57" i="10" s="1"/>
  <c r="L14" i="14"/>
  <c r="L57" i="10" s="1"/>
  <c r="M14" i="14"/>
  <c r="M57" i="10" s="1"/>
  <c r="I78" i="18" l="1"/>
  <c r="I82" i="18"/>
  <c r="I83" i="18" s="1"/>
  <c r="J79" i="18"/>
  <c r="J78" i="18" s="1"/>
  <c r="J41" i="18"/>
  <c r="N49" i="5"/>
  <c r="I220" i="10"/>
  <c r="E51" i="18" s="1"/>
  <c r="I14" i="16"/>
  <c r="I273" i="10"/>
  <c r="E21" i="16"/>
  <c r="E33" i="16" s="1"/>
  <c r="E36" i="16" s="1"/>
  <c r="F61" i="5"/>
  <c r="H29" i="5"/>
  <c r="H45" i="13"/>
  <c r="H44" i="5"/>
  <c r="N44" i="5" s="1"/>
  <c r="H37" i="5"/>
  <c r="N37" i="5" s="1"/>
  <c r="F21" i="16"/>
  <c r="F33" i="16" s="1"/>
  <c r="F36" i="16" s="1"/>
  <c r="F206" i="10"/>
  <c r="F49" i="14" s="1"/>
  <c r="F34" i="10"/>
  <c r="F27" i="14" s="1"/>
  <c r="N35" i="5"/>
  <c r="E61" i="5"/>
  <c r="D71" i="18"/>
  <c r="D72" i="18"/>
  <c r="D61" i="5"/>
  <c r="N57" i="5"/>
  <c r="L209" i="10"/>
  <c r="L211" i="10" s="1"/>
  <c r="K30" i="10"/>
  <c r="G111" i="18" s="1"/>
  <c r="E92" i="10"/>
  <c r="E28" i="13"/>
  <c r="E206" i="10"/>
  <c r="E49" i="14" s="1"/>
  <c r="E34" i="10"/>
  <c r="E27" i="14" s="1"/>
  <c r="G61" i="5"/>
  <c r="I52" i="10"/>
  <c r="J56" i="10"/>
  <c r="D76" i="18" l="1"/>
  <c r="H64" i="5"/>
  <c r="F92" i="10"/>
  <c r="E93" i="10"/>
  <c r="E57" i="14" s="1"/>
  <c r="E56" i="13"/>
  <c r="L30" i="10"/>
  <c r="H111" i="18" s="1"/>
  <c r="M209" i="10"/>
  <c r="M211" i="10" s="1"/>
  <c r="M30" i="10" s="1"/>
  <c r="I111" i="18" s="1"/>
  <c r="H58" i="5"/>
  <c r="N29" i="5"/>
  <c r="J50" i="10"/>
  <c r="J52" i="10" s="1"/>
  <c r="K56" i="10"/>
  <c r="I53" i="10"/>
  <c r="I12" i="10"/>
  <c r="E57" i="13" l="1"/>
  <c r="E54" i="5"/>
  <c r="E43" i="5"/>
  <c r="E94" i="10"/>
  <c r="E45" i="5"/>
  <c r="E38" i="5"/>
  <c r="E36" i="5"/>
  <c r="G92" i="10"/>
  <c r="F56" i="13"/>
  <c r="F93" i="10"/>
  <c r="F57" i="14" s="1"/>
  <c r="H61" i="5"/>
  <c r="N61" i="5" s="1"/>
  <c r="N58" i="5"/>
  <c r="I14" i="10"/>
  <c r="I13" i="10" s="1"/>
  <c r="I106" i="10"/>
  <c r="I137" i="10"/>
  <c r="I15" i="10"/>
  <c r="I22" i="10"/>
  <c r="I16" i="10"/>
  <c r="I113" i="10"/>
  <c r="I159" i="10"/>
  <c r="I154" i="10" s="1"/>
  <c r="I144" i="10"/>
  <c r="I168" i="10"/>
  <c r="K50" i="10"/>
  <c r="K52" i="10" s="1"/>
  <c r="L56" i="10"/>
  <c r="J53" i="10"/>
  <c r="J12" i="10"/>
  <c r="E59" i="5" l="1"/>
  <c r="E58" i="13"/>
  <c r="E96" i="10"/>
  <c r="F57" i="13"/>
  <c r="F43" i="5"/>
  <c r="F54" i="5"/>
  <c r="F94" i="10"/>
  <c r="F45" i="5"/>
  <c r="F59" i="5" s="1"/>
  <c r="F60" i="5" s="1"/>
  <c r="F38" i="5"/>
  <c r="F36" i="5"/>
  <c r="G93" i="10"/>
  <c r="G57" i="14" s="1"/>
  <c r="H92" i="10"/>
  <c r="G56" i="13"/>
  <c r="J14" i="10"/>
  <c r="J106" i="10"/>
  <c r="J137" i="10"/>
  <c r="J15" i="10"/>
  <c r="J22" i="10"/>
  <c r="J16" i="10"/>
  <c r="J113" i="10"/>
  <c r="J144" i="10"/>
  <c r="J168" i="10"/>
  <c r="J159" i="10"/>
  <c r="J154" i="10" s="1"/>
  <c r="J231" i="10" s="1"/>
  <c r="F59" i="18" s="1"/>
  <c r="I121" i="10"/>
  <c r="I129" i="10"/>
  <c r="L50" i="10"/>
  <c r="L52" i="10" s="1"/>
  <c r="M56" i="10"/>
  <c r="M50" i="10" s="1"/>
  <c r="M52" i="10" s="1"/>
  <c r="I80" i="10"/>
  <c r="I259" i="10" s="1"/>
  <c r="J166" i="10"/>
  <c r="I167" i="10"/>
  <c r="I232" i="10" s="1"/>
  <c r="E60" i="18" s="1"/>
  <c r="I73" i="10"/>
  <c r="J111" i="10"/>
  <c r="I112" i="10"/>
  <c r="I222" i="10" s="1"/>
  <c r="E53" i="18" s="1"/>
  <c r="I75" i="10"/>
  <c r="I256" i="10" s="1"/>
  <c r="J135" i="10"/>
  <c r="I136" i="10"/>
  <c r="I224" i="10" s="1"/>
  <c r="E55" i="18" s="1"/>
  <c r="K12" i="10"/>
  <c r="K53" i="10"/>
  <c r="J142" i="10"/>
  <c r="I143" i="10"/>
  <c r="I226" i="10" s="1"/>
  <c r="E57" i="18" s="1"/>
  <c r="I85" i="10"/>
  <c r="I268" i="10" s="1"/>
  <c r="I71" i="10"/>
  <c r="E103" i="18" s="1"/>
  <c r="J104" i="10"/>
  <c r="I105" i="10"/>
  <c r="I221" i="10" s="1"/>
  <c r="I231" i="10"/>
  <c r="E59" i="18" s="1"/>
  <c r="I155" i="10"/>
  <c r="I17" i="10"/>
  <c r="E61" i="18" l="1"/>
  <c r="E60" i="5"/>
  <c r="H93" i="10"/>
  <c r="H57" i="14" s="1"/>
  <c r="H56" i="13"/>
  <c r="F58" i="13"/>
  <c r="F96" i="10"/>
  <c r="G57" i="13"/>
  <c r="G54" i="5"/>
  <c r="G43" i="5"/>
  <c r="G94" i="10"/>
  <c r="G38" i="5"/>
  <c r="G36" i="5"/>
  <c r="G45" i="5"/>
  <c r="G59" i="5" s="1"/>
  <c r="G60" i="5" s="1"/>
  <c r="I77" i="10"/>
  <c r="I258" i="10" s="1"/>
  <c r="J153" i="10"/>
  <c r="J155" i="10" s="1"/>
  <c r="I157" i="10"/>
  <c r="I253" i="10"/>
  <c r="I25" i="16"/>
  <c r="L12" i="10"/>
  <c r="L53" i="10"/>
  <c r="J73" i="10"/>
  <c r="K111" i="10"/>
  <c r="J112" i="10"/>
  <c r="J222" i="10" s="1"/>
  <c r="F53" i="18" s="1"/>
  <c r="J75" i="10"/>
  <c r="J256" i="10" s="1"/>
  <c r="K135" i="10"/>
  <c r="J136" i="10"/>
  <c r="J224" i="10" s="1"/>
  <c r="F55" i="18" s="1"/>
  <c r="K16" i="10"/>
  <c r="K113" i="10"/>
  <c r="K14" i="10"/>
  <c r="K106" i="10"/>
  <c r="K137" i="10"/>
  <c r="K15" i="10"/>
  <c r="K22" i="10"/>
  <c r="K168" i="10"/>
  <c r="K144" i="10"/>
  <c r="K159" i="10"/>
  <c r="K154" i="10" s="1"/>
  <c r="K231" i="10" s="1"/>
  <c r="G59" i="18" s="1"/>
  <c r="I15" i="16"/>
  <c r="I84" i="10"/>
  <c r="J127" i="10"/>
  <c r="I128" i="10"/>
  <c r="I225" i="10" s="1"/>
  <c r="E56" i="18" s="1"/>
  <c r="J24" i="16"/>
  <c r="J71" i="10"/>
  <c r="F103" i="18" s="1"/>
  <c r="K104" i="10"/>
  <c r="J105" i="10"/>
  <c r="J221" i="10" s="1"/>
  <c r="I19" i="16"/>
  <c r="I17" i="16"/>
  <c r="I74" i="10"/>
  <c r="J119" i="10"/>
  <c r="I120" i="10"/>
  <c r="I223" i="10" s="1"/>
  <c r="E54" i="18" s="1"/>
  <c r="J80" i="10"/>
  <c r="J259" i="10" s="1"/>
  <c r="K166" i="10"/>
  <c r="J167" i="10"/>
  <c r="J232" i="10" s="1"/>
  <c r="F60" i="18" s="1"/>
  <c r="F61" i="18" s="1"/>
  <c r="J17" i="10"/>
  <c r="I24" i="16"/>
  <c r="I233" i="10"/>
  <c r="I19" i="10"/>
  <c r="E45" i="18" s="1"/>
  <c r="E47" i="18" s="1"/>
  <c r="E49" i="18" s="1"/>
  <c r="E64" i="18" s="1"/>
  <c r="I33" i="5"/>
  <c r="I254" i="10"/>
  <c r="I15" i="5"/>
  <c r="I16" i="5" s="1"/>
  <c r="M53" i="10"/>
  <c r="M12" i="10"/>
  <c r="K142" i="10"/>
  <c r="J85" i="10"/>
  <c r="J268" i="10" s="1"/>
  <c r="J143" i="10"/>
  <c r="J226" i="10" s="1"/>
  <c r="F57" i="18" s="1"/>
  <c r="J13" i="10"/>
  <c r="E58" i="18" l="1"/>
  <c r="E62" i="18" s="1"/>
  <c r="E63" i="18" s="1"/>
  <c r="E52" i="18"/>
  <c r="E50" i="18"/>
  <c r="G58" i="13"/>
  <c r="G96" i="10"/>
  <c r="H43" i="5"/>
  <c r="N43" i="5" s="1"/>
  <c r="H57" i="13"/>
  <c r="H54" i="5"/>
  <c r="N54" i="5" s="1"/>
  <c r="H94" i="10"/>
  <c r="H36" i="5"/>
  <c r="N36" i="5" s="1"/>
  <c r="H38" i="5"/>
  <c r="N38" i="5" s="1"/>
  <c r="H45" i="5"/>
  <c r="H59" i="5" s="1"/>
  <c r="H60" i="5" s="1"/>
  <c r="N60" i="5" s="1"/>
  <c r="N45" i="5"/>
  <c r="I26" i="16"/>
  <c r="K17" i="10"/>
  <c r="K33" i="5" s="1"/>
  <c r="I42" i="5"/>
  <c r="I34" i="5"/>
  <c r="I41" i="5"/>
  <c r="I16" i="16"/>
  <c r="J25" i="16"/>
  <c r="J26" i="16" s="1"/>
  <c r="K24" i="16"/>
  <c r="K13" i="10"/>
  <c r="J254" i="10"/>
  <c r="J15" i="5"/>
  <c r="J16" i="5" s="1"/>
  <c r="I255" i="10"/>
  <c r="I257" i="10" s="1"/>
  <c r="I260" i="10" s="1"/>
  <c r="I18" i="5"/>
  <c r="J253" i="10"/>
  <c r="I18" i="16"/>
  <c r="K85" i="10"/>
  <c r="K268" i="10" s="1"/>
  <c r="L142" i="10"/>
  <c r="K143" i="10"/>
  <c r="K226" i="10" s="1"/>
  <c r="G57" i="18" s="1"/>
  <c r="K75" i="10"/>
  <c r="K256" i="10" s="1"/>
  <c r="L135" i="10"/>
  <c r="K136" i="10"/>
  <c r="K224" i="10" s="1"/>
  <c r="G55" i="18" s="1"/>
  <c r="K73" i="10"/>
  <c r="L111" i="10"/>
  <c r="K112" i="10"/>
  <c r="K222" i="10" s="1"/>
  <c r="G53" i="18" s="1"/>
  <c r="I79" i="10"/>
  <c r="I28" i="5" s="1"/>
  <c r="J162" i="10"/>
  <c r="J121" i="10"/>
  <c r="J129" i="10"/>
  <c r="M14" i="10"/>
  <c r="M106" i="10"/>
  <c r="M137" i="10"/>
  <c r="M15" i="10"/>
  <c r="M22" i="10"/>
  <c r="M16" i="10"/>
  <c r="M113" i="10"/>
  <c r="M144" i="10"/>
  <c r="M159" i="10"/>
  <c r="M154" i="10" s="1"/>
  <c r="M231" i="10" s="1"/>
  <c r="I59" i="18" s="1"/>
  <c r="M168" i="10"/>
  <c r="J233" i="10"/>
  <c r="K80" i="10"/>
  <c r="K259" i="10" s="1"/>
  <c r="L166" i="10"/>
  <c r="K167" i="10"/>
  <c r="K232" i="10" s="1"/>
  <c r="K71" i="10"/>
  <c r="G103" i="18" s="1"/>
  <c r="L104" i="10"/>
  <c r="K105" i="10"/>
  <c r="K221" i="10" s="1"/>
  <c r="J15" i="16"/>
  <c r="L15" i="10"/>
  <c r="L22" i="10"/>
  <c r="L16" i="10"/>
  <c r="L113" i="10"/>
  <c r="L144" i="10"/>
  <c r="L14" i="10"/>
  <c r="L106" i="10"/>
  <c r="L137" i="10"/>
  <c r="L159" i="10"/>
  <c r="L154" i="10" s="1"/>
  <c r="L231" i="10" s="1"/>
  <c r="H59" i="18" s="1"/>
  <c r="L168" i="10"/>
  <c r="J77" i="10"/>
  <c r="J258" i="10" s="1"/>
  <c r="K153" i="10"/>
  <c r="K155" i="10" s="1"/>
  <c r="J19" i="16"/>
  <c r="J33" i="5"/>
  <c r="I267" i="10"/>
  <c r="I270" i="10" s="1"/>
  <c r="I22" i="5"/>
  <c r="I23" i="5" s="1"/>
  <c r="J17" i="16"/>
  <c r="N59" i="5" l="1"/>
  <c r="E66" i="18"/>
  <c r="E84" i="18" s="1"/>
  <c r="K233" i="10"/>
  <c r="G60" i="18"/>
  <c r="G61" i="18" s="1"/>
  <c r="H58" i="13"/>
  <c r="H96" i="10"/>
  <c r="I64" i="5"/>
  <c r="L17" i="10"/>
  <c r="L33" i="5" s="1"/>
  <c r="M17" i="10"/>
  <c r="M33" i="5" s="1"/>
  <c r="L80" i="10"/>
  <c r="L259" i="10" s="1"/>
  <c r="M166" i="10"/>
  <c r="M167" i="10" s="1"/>
  <c r="M232" i="10" s="1"/>
  <c r="L167" i="10"/>
  <c r="L232" i="10" s="1"/>
  <c r="L24" i="16"/>
  <c r="L13" i="10"/>
  <c r="M13" i="10"/>
  <c r="J84" i="10"/>
  <c r="K127" i="10"/>
  <c r="J128" i="10"/>
  <c r="J225" i="10" s="1"/>
  <c r="F56" i="18" s="1"/>
  <c r="K15" i="16"/>
  <c r="L75" i="10"/>
  <c r="L256" i="10" s="1"/>
  <c r="M135" i="10"/>
  <c r="M136" i="10" s="1"/>
  <c r="M224" i="10" s="1"/>
  <c r="I55" i="18" s="1"/>
  <c r="L136" i="10"/>
  <c r="L224" i="10" s="1"/>
  <c r="H55" i="18" s="1"/>
  <c r="L85" i="10"/>
  <c r="L268" i="10" s="1"/>
  <c r="L143" i="10"/>
  <c r="L226" i="10" s="1"/>
  <c r="H57" i="18" s="1"/>
  <c r="M142" i="10"/>
  <c r="M143" i="10" s="1"/>
  <c r="M226" i="10" s="1"/>
  <c r="I57" i="18" s="1"/>
  <c r="M80" i="10"/>
  <c r="M73" i="10"/>
  <c r="M75" i="10"/>
  <c r="K119" i="10"/>
  <c r="J120" i="10"/>
  <c r="J223" i="10" s="1"/>
  <c r="F54" i="18" s="1"/>
  <c r="J74" i="10"/>
  <c r="L153" i="10"/>
  <c r="L155" i="10" s="1"/>
  <c r="K77" i="10"/>
  <c r="K258" i="10" s="1"/>
  <c r="L71" i="10"/>
  <c r="H103" i="18" s="1"/>
  <c r="M104" i="10"/>
  <c r="M105" i="10" s="1"/>
  <c r="M221" i="10" s="1"/>
  <c r="L105" i="10"/>
  <c r="L221" i="10" s="1"/>
  <c r="L73" i="10"/>
  <c r="M111" i="10"/>
  <c r="M112" i="10" s="1"/>
  <c r="M222" i="10" s="1"/>
  <c r="I53" i="18" s="1"/>
  <c r="L112" i="10"/>
  <c r="L222" i="10" s="1"/>
  <c r="H53" i="18" s="1"/>
  <c r="K253" i="10"/>
  <c r="M24" i="16"/>
  <c r="M71" i="10"/>
  <c r="I103" i="18" s="1"/>
  <c r="J18" i="10"/>
  <c r="J156" i="10"/>
  <c r="K254" i="10"/>
  <c r="K15" i="5"/>
  <c r="K16" i="5" s="1"/>
  <c r="K19" i="16"/>
  <c r="K25" i="16"/>
  <c r="K26" i="16" s="1"/>
  <c r="M85" i="10"/>
  <c r="K17" i="16"/>
  <c r="I19" i="5"/>
  <c r="I20" i="5"/>
  <c r="K129" i="10"/>
  <c r="K121" i="10"/>
  <c r="I65" i="5"/>
  <c r="E67" i="18" l="1"/>
  <c r="M233" i="10"/>
  <c r="I60" i="18"/>
  <c r="I61" i="18" s="1"/>
  <c r="L233" i="10"/>
  <c r="H60" i="18"/>
  <c r="H61" i="18" s="1"/>
  <c r="F58" i="18"/>
  <c r="F62" i="18" s="1"/>
  <c r="M256" i="10"/>
  <c r="M268" i="10"/>
  <c r="M259" i="10"/>
  <c r="M15" i="16"/>
  <c r="M253" i="10"/>
  <c r="K84" i="10"/>
  <c r="L127" i="10"/>
  <c r="K128" i="10"/>
  <c r="K225" i="10" s="1"/>
  <c r="G56" i="18" s="1"/>
  <c r="M19" i="16"/>
  <c r="J78" i="10"/>
  <c r="J157" i="10"/>
  <c r="L15" i="16"/>
  <c r="L77" i="10"/>
  <c r="L258" i="10" s="1"/>
  <c r="M153" i="10"/>
  <c r="M155" i="10" s="1"/>
  <c r="J255" i="10"/>
  <c r="J257" i="10" s="1"/>
  <c r="J260" i="10" s="1"/>
  <c r="J18" i="5"/>
  <c r="L17" i="16"/>
  <c r="L129" i="10"/>
  <c r="L121" i="10"/>
  <c r="J14" i="16"/>
  <c r="J273" i="10"/>
  <c r="J220" i="10"/>
  <c r="F51" i="18" s="1"/>
  <c r="L253" i="10"/>
  <c r="J16" i="16"/>
  <c r="J267" i="10"/>
  <c r="J270" i="10" s="1"/>
  <c r="J22" i="5"/>
  <c r="J23" i="5" s="1"/>
  <c r="L25" i="16"/>
  <c r="L26" i="16" s="1"/>
  <c r="K74" i="10"/>
  <c r="L119" i="10"/>
  <c r="K120" i="10"/>
  <c r="K223" i="10" s="1"/>
  <c r="G54" i="18" s="1"/>
  <c r="I26" i="5"/>
  <c r="I25" i="5"/>
  <c r="L254" i="10"/>
  <c r="L15" i="5"/>
  <c r="L16" i="5" s="1"/>
  <c r="M254" i="10"/>
  <c r="M15" i="5"/>
  <c r="M16" i="5" s="1"/>
  <c r="L19" i="16"/>
  <c r="M121" i="10"/>
  <c r="M129" i="10"/>
  <c r="M17" i="16"/>
  <c r="M25" i="16"/>
  <c r="M26" i="16" s="1"/>
  <c r="J18" i="16"/>
  <c r="G58" i="18" l="1"/>
  <c r="G62" i="18" s="1"/>
  <c r="K16" i="16"/>
  <c r="K267" i="10"/>
  <c r="K270" i="10" s="1"/>
  <c r="K22" i="5"/>
  <c r="K23" i="5" s="1"/>
  <c r="K255" i="10"/>
  <c r="K257" i="10" s="1"/>
  <c r="K260" i="10" s="1"/>
  <c r="K18" i="5"/>
  <c r="M77" i="10"/>
  <c r="M258" i="10" s="1"/>
  <c r="J79" i="10"/>
  <c r="J28" i="5" s="1"/>
  <c r="K162" i="10"/>
  <c r="M84" i="10"/>
  <c r="L74" i="10"/>
  <c r="M119" i="10"/>
  <c r="M120" i="10" s="1"/>
  <c r="M223" i="10" s="1"/>
  <c r="I54" i="18" s="1"/>
  <c r="L120" i="10"/>
  <c r="L223" i="10" s="1"/>
  <c r="H54" i="18" s="1"/>
  <c r="J19" i="5"/>
  <c r="J20" i="5"/>
  <c r="K18" i="16"/>
  <c r="M74" i="10"/>
  <c r="L84" i="10"/>
  <c r="M127" i="10"/>
  <c r="M128" i="10" s="1"/>
  <c r="M225" i="10" s="1"/>
  <c r="I56" i="18" s="1"/>
  <c r="L128" i="10"/>
  <c r="L225" i="10" s="1"/>
  <c r="H56" i="18" s="1"/>
  <c r="H58" i="18" l="1"/>
  <c r="H62" i="18" s="1"/>
  <c r="I58" i="18"/>
  <c r="I62" i="18" s="1"/>
  <c r="M18" i="16"/>
  <c r="K19" i="5"/>
  <c r="K20" i="5"/>
  <c r="L18" i="16"/>
  <c r="J25" i="5"/>
  <c r="J26" i="5"/>
  <c r="L267" i="10"/>
  <c r="L270" i="10" s="1"/>
  <c r="L22" i="5"/>
  <c r="L23" i="5" s="1"/>
  <c r="L16" i="16"/>
  <c r="M267" i="10"/>
  <c r="M270" i="10" s="1"/>
  <c r="M22" i="5"/>
  <c r="M23" i="5" s="1"/>
  <c r="M16" i="16"/>
  <c r="K18" i="10"/>
  <c r="K156" i="10"/>
  <c r="M255" i="10"/>
  <c r="M257" i="10" s="1"/>
  <c r="M260" i="10" s="1"/>
  <c r="M18" i="5"/>
  <c r="L255" i="10"/>
  <c r="L257" i="10" s="1"/>
  <c r="L260" i="10" s="1"/>
  <c r="L18" i="5"/>
  <c r="L20" i="5" l="1"/>
  <c r="L19" i="5"/>
  <c r="K78" i="10"/>
  <c r="K157" i="10"/>
  <c r="K25" i="5"/>
  <c r="K26" i="5"/>
  <c r="M19" i="5"/>
  <c r="M20" i="5"/>
  <c r="K14" i="16"/>
  <c r="K220" i="10"/>
  <c r="G51" i="18" s="1"/>
  <c r="K273" i="10"/>
  <c r="L26" i="5" l="1"/>
  <c r="L25" i="5"/>
  <c r="M25" i="5"/>
  <c r="M26" i="5"/>
  <c r="K79" i="10"/>
  <c r="K28" i="5" s="1"/>
  <c r="L162" i="10"/>
  <c r="L18" i="10" l="1"/>
  <c r="L156" i="10"/>
  <c r="L78" i="10" l="1"/>
  <c r="L157" i="10"/>
  <c r="L14" i="16"/>
  <c r="L220" i="10"/>
  <c r="H51" i="18" s="1"/>
  <c r="L273" i="10"/>
  <c r="L79" i="10" l="1"/>
  <c r="L28" i="5" s="1"/>
  <c r="M162" i="10"/>
  <c r="M18" i="10" l="1"/>
  <c r="M156" i="10"/>
  <c r="M14" i="16" l="1"/>
  <c r="M220" i="10"/>
  <c r="I51" i="18" s="1"/>
  <c r="M273" i="10"/>
  <c r="M78" i="10"/>
  <c r="M157" i="10"/>
  <c r="M79" i="10" s="1"/>
  <c r="M28" i="5" s="1"/>
  <c r="K28" i="20" l="1"/>
  <c r="L29" i="20"/>
  <c r="K9" i="20"/>
  <c r="L9" i="20"/>
  <c r="L10" i="20"/>
  <c r="L11" i="20"/>
  <c r="L12" i="20"/>
  <c r="L13" i="20"/>
  <c r="L14" i="20"/>
  <c r="L15" i="20"/>
  <c r="L16" i="20"/>
  <c r="L17" i="20"/>
  <c r="L19" i="20"/>
  <c r="L20" i="20"/>
  <c r="K21" i="20"/>
  <c r="L21" i="20"/>
  <c r="L22" i="20"/>
  <c r="L23" i="20"/>
  <c r="L24" i="20"/>
  <c r="K25" i="20"/>
  <c r="L25" i="20"/>
  <c r="L26" i="20"/>
  <c r="L27" i="20"/>
  <c r="L28" i="20"/>
  <c r="K29" i="20"/>
  <c r="L30" i="20"/>
  <c r="K34" i="20"/>
  <c r="L34" i="20"/>
  <c r="K13" i="20" l="1"/>
  <c r="K27" i="20"/>
  <c r="K19" i="20"/>
  <c r="K15" i="20"/>
  <c r="K23" i="20"/>
  <c r="K11" i="20"/>
  <c r="L18" i="20"/>
  <c r="K30" i="20"/>
  <c r="K26" i="20"/>
  <c r="K24" i="20"/>
  <c r="K22" i="20"/>
  <c r="K20" i="20"/>
  <c r="K18" i="20"/>
  <c r="K16" i="20"/>
  <c r="K14" i="20"/>
  <c r="K12" i="20"/>
  <c r="K10" i="20"/>
  <c r="K17" i="20"/>
  <c r="I300" i="10" l="1"/>
  <c r="I308" i="10"/>
  <c r="I20" i="10" s="1"/>
  <c r="D31" i="18" l="1"/>
  <c r="D32" i="18" s="1"/>
  <c r="D33" i="18" s="1"/>
  <c r="D37" i="18"/>
  <c r="I23" i="10"/>
  <c r="E71" i="18"/>
  <c r="I13" i="16"/>
  <c r="D38" i="18" l="1"/>
  <c r="I24" i="10"/>
  <c r="I25" i="10" s="1"/>
  <c r="I27" i="10" s="1"/>
  <c r="I32" i="10" l="1"/>
  <c r="I205" i="10" s="1"/>
  <c r="I272" i="10"/>
  <c r="I12" i="16"/>
  <c r="I21" i="16" s="1"/>
  <c r="I31" i="10"/>
  <c r="I200" i="10"/>
  <c r="I32" i="5"/>
  <c r="I219" i="10"/>
  <c r="I228" i="10" s="1"/>
  <c r="I35" i="5"/>
  <c r="I57" i="5" s="1"/>
  <c r="I201" i="10" l="1"/>
  <c r="I202" i="10" s="1"/>
  <c r="I48" i="5"/>
  <c r="I52" i="5" s="1"/>
  <c r="E25" i="17"/>
  <c r="I239" i="10"/>
  <c r="I33" i="10"/>
  <c r="I274" i="10"/>
  <c r="I275" i="10" s="1"/>
  <c r="I276" i="10" s="1"/>
  <c r="I277" i="10" s="1"/>
  <c r="I49" i="5"/>
  <c r="I28" i="10"/>
  <c r="I53" i="5"/>
  <c r="I195" i="10"/>
  <c r="I92" i="10" l="1"/>
  <c r="J199" i="10"/>
  <c r="I196" i="10"/>
  <c r="I238" i="10"/>
  <c r="E75" i="18" s="1"/>
  <c r="E74" i="18"/>
  <c r="I91" i="10" l="1"/>
  <c r="I93" i="10" s="1"/>
  <c r="J194" i="10"/>
  <c r="I285" i="10"/>
  <c r="I286" i="10" s="1"/>
  <c r="I291" i="10" s="1"/>
  <c r="I292" i="10" l="1"/>
  <c r="I296" i="10" s="1"/>
  <c r="I297" i="10" s="1"/>
  <c r="E30" i="18"/>
  <c r="I43" i="5"/>
  <c r="I57" i="14"/>
  <c r="I59" i="14" s="1"/>
  <c r="I38" i="5"/>
  <c r="I36" i="5"/>
  <c r="I54" i="5"/>
  <c r="J295" i="10" l="1"/>
  <c r="J300" i="10"/>
  <c r="I86" i="10"/>
  <c r="I236" i="10" s="1"/>
  <c r="I87" i="10" l="1"/>
  <c r="I90" i="10" s="1"/>
  <c r="I94" i="10" s="1"/>
  <c r="E101" i="18"/>
  <c r="I240" i="10"/>
  <c r="I242" i="10" s="1"/>
  <c r="I29" i="16"/>
  <c r="I31" i="16" s="1"/>
  <c r="I33" i="16" s="1"/>
  <c r="E73" i="18"/>
  <c r="E35" i="17" l="1"/>
  <c r="I36" i="16"/>
  <c r="E70" i="18"/>
  <c r="E76" i="18" s="1"/>
  <c r="I245" i="10"/>
  <c r="I246" i="10" s="1"/>
  <c r="I72" i="10" s="1"/>
  <c r="J290" i="10" s="1"/>
  <c r="J244" i="10" l="1"/>
  <c r="E104" i="18" l="1"/>
  <c r="E105" i="18" s="1"/>
  <c r="I304" i="10"/>
  <c r="I305" i="10" s="1"/>
  <c r="I76" i="10"/>
  <c r="J308" i="10" l="1"/>
  <c r="J20" i="10" s="1"/>
  <c r="J303" i="10"/>
  <c r="I81" i="10"/>
  <c r="I12" i="5"/>
  <c r="I11" i="5"/>
  <c r="E109" i="18"/>
  <c r="E29" i="18"/>
  <c r="E31" i="18" l="1"/>
  <c r="E32" i="18" s="1"/>
  <c r="E33" i="18" s="1"/>
  <c r="E36" i="18"/>
  <c r="E37" i="18"/>
  <c r="I29" i="5"/>
  <c r="I58" i="5" s="1"/>
  <c r="I96" i="10"/>
  <c r="I45" i="5"/>
  <c r="I59" i="5" s="1"/>
  <c r="I37" i="5"/>
  <c r="I44" i="5"/>
  <c r="J13" i="16"/>
  <c r="J19" i="10"/>
  <c r="F71" i="18"/>
  <c r="F45" i="18" l="1"/>
  <c r="F47" i="18" s="1"/>
  <c r="F49" i="18" s="1"/>
  <c r="J23" i="10"/>
  <c r="J34" i="5"/>
  <c r="J41" i="5"/>
  <c r="J42" i="5"/>
  <c r="E38" i="18"/>
  <c r="I61" i="5"/>
  <c r="I60" i="5"/>
  <c r="J24" i="10" l="1"/>
  <c r="J25" i="10" s="1"/>
  <c r="F52" i="18"/>
  <c r="F66" i="18" s="1"/>
  <c r="F64" i="18"/>
  <c r="J65" i="5" s="1"/>
  <c r="F50" i="18"/>
  <c r="F63" i="18"/>
  <c r="J64" i="5" s="1"/>
  <c r="J219" i="10" l="1"/>
  <c r="J228" i="10" s="1"/>
  <c r="J35" i="5"/>
  <c r="J57" i="5" s="1"/>
  <c r="J32" i="10"/>
  <c r="J205" i="10" s="1"/>
  <c r="J272" i="10"/>
  <c r="J27" i="10"/>
  <c r="J12" i="16"/>
  <c r="J21" i="16" s="1"/>
  <c r="J31" i="10"/>
  <c r="J200" i="10"/>
  <c r="J32" i="5"/>
  <c r="F67" i="18"/>
  <c r="F84" i="18"/>
  <c r="J49" i="5" l="1"/>
  <c r="J201" i="10"/>
  <c r="J202" i="10" s="1"/>
  <c r="J48" i="5"/>
  <c r="J52" i="5" s="1"/>
  <c r="F25" i="17"/>
  <c r="J239" i="10"/>
  <c r="J33" i="10"/>
  <c r="J274" i="10"/>
  <c r="J275" i="10" s="1"/>
  <c r="J276" i="10" s="1"/>
  <c r="J277" i="10" s="1"/>
  <c r="J53" i="5"/>
  <c r="J195" i="10"/>
  <c r="J28" i="10"/>
  <c r="K199" i="10" l="1"/>
  <c r="J92" i="10"/>
  <c r="F74" i="18"/>
  <c r="J238" i="10"/>
  <c r="F75" i="18" s="1"/>
  <c r="J196" i="10"/>
  <c r="J91" i="10" l="1"/>
  <c r="J93" i="10" s="1"/>
  <c r="K194" i="10"/>
  <c r="J285" i="10"/>
  <c r="J286" i="10" s="1"/>
  <c r="J291" i="10" s="1"/>
  <c r="J292" i="10" s="1"/>
  <c r="J296" i="10" s="1"/>
  <c r="J297" i="10" s="1"/>
  <c r="K300" i="10" l="1"/>
  <c r="J86" i="10"/>
  <c r="K295" i="10"/>
  <c r="F30" i="18"/>
  <c r="J43" i="5"/>
  <c r="J57" i="14"/>
  <c r="J59" i="14" s="1"/>
  <c r="J36" i="5"/>
  <c r="J38" i="5"/>
  <c r="J54" i="5"/>
  <c r="J236" i="10" l="1"/>
  <c r="F101" i="18"/>
  <c r="J87" i="10"/>
  <c r="J90" i="10" s="1"/>
  <c r="J94" i="10" l="1"/>
  <c r="J240" i="10"/>
  <c r="J242" i="10" s="1"/>
  <c r="J29" i="16"/>
  <c r="J31" i="16" s="1"/>
  <c r="J33" i="16" s="1"/>
  <c r="F73" i="18"/>
  <c r="F35" i="17" l="1"/>
  <c r="J36" i="16"/>
  <c r="F70" i="18"/>
  <c r="F76" i="18" s="1"/>
  <c r="J245" i="10"/>
  <c r="J246" i="10" s="1"/>
  <c r="J72" i="10" l="1"/>
  <c r="K244" i="10"/>
  <c r="J76" i="10" l="1"/>
  <c r="F104" i="18"/>
  <c r="F105" i="18" s="1"/>
  <c r="J304" i="10"/>
  <c r="J305" i="10" s="1"/>
  <c r="K290" i="10"/>
  <c r="K308" i="10" l="1"/>
  <c r="K20" i="10" s="1"/>
  <c r="K303" i="10"/>
  <c r="J11" i="5"/>
  <c r="J81" i="10"/>
  <c r="J12" i="5"/>
  <c r="F109" i="18"/>
  <c r="F29" i="18"/>
  <c r="J29" i="5" l="1"/>
  <c r="J58" i="5" s="1"/>
  <c r="J96" i="10"/>
  <c r="J45" i="5"/>
  <c r="J59" i="5" s="1"/>
  <c r="J37" i="5"/>
  <c r="J44" i="5"/>
  <c r="F31" i="18"/>
  <c r="F32" i="18" s="1"/>
  <c r="F33" i="18" s="1"/>
  <c r="F36" i="18"/>
  <c r="F37" i="18"/>
  <c r="K13" i="16"/>
  <c r="K19" i="10"/>
  <c r="G71" i="18"/>
  <c r="F38" i="18" l="1"/>
  <c r="K42" i="5"/>
  <c r="G45" i="18"/>
  <c r="G47" i="18" s="1"/>
  <c r="G49" i="18" s="1"/>
  <c r="K23" i="10"/>
  <c r="K34" i="5"/>
  <c r="K41" i="5"/>
  <c r="J61" i="5"/>
  <c r="J60" i="5"/>
  <c r="K24" i="10" l="1"/>
  <c r="K25" i="10" s="1"/>
  <c r="G50" i="18"/>
  <c r="G63" i="18"/>
  <c r="K64" i="5" s="1"/>
  <c r="G52" i="18"/>
  <c r="G66" i="18" s="1"/>
  <c r="G64" i="18"/>
  <c r="K65" i="5" s="1"/>
  <c r="G67" i="18" l="1"/>
  <c r="G84" i="18"/>
  <c r="K32" i="5"/>
  <c r="K219" i="10"/>
  <c r="K228" i="10" s="1"/>
  <c r="K35" i="5"/>
  <c r="K57" i="5" s="1"/>
  <c r="K32" i="10"/>
  <c r="K205" i="10" s="1"/>
  <c r="K272" i="10"/>
  <c r="K27" i="10"/>
  <c r="K28" i="10" s="1"/>
  <c r="K12" i="16"/>
  <c r="K21" i="16" s="1"/>
  <c r="K31" i="10"/>
  <c r="K200" i="10"/>
  <c r="K53" i="5" l="1"/>
  <c r="K195" i="10"/>
  <c r="K49" i="5"/>
  <c r="K201" i="10"/>
  <c r="K202" i="10" s="1"/>
  <c r="K48" i="5"/>
  <c r="K52" i="5" s="1"/>
  <c r="G25" i="17"/>
  <c r="K239" i="10"/>
  <c r="K33" i="10"/>
  <c r="K274" i="10"/>
  <c r="K275" i="10" s="1"/>
  <c r="K276" i="10" s="1"/>
  <c r="K277" i="10" s="1"/>
  <c r="G74" i="18" l="1"/>
  <c r="L199" i="10"/>
  <c r="K92" i="10"/>
  <c r="K238" i="10"/>
  <c r="G75" i="18" s="1"/>
  <c r="K196" i="10"/>
  <c r="K91" i="10" l="1"/>
  <c r="K93" i="10" s="1"/>
  <c r="L194" i="10"/>
  <c r="K285" i="10"/>
  <c r="K286" i="10" s="1"/>
  <c r="K291" i="10" s="1"/>
  <c r="K292" i="10" s="1"/>
  <c r="K296" i="10" s="1"/>
  <c r="K297" i="10" s="1"/>
  <c r="L300" i="10" l="1"/>
  <c r="K86" i="10"/>
  <c r="L295" i="10"/>
  <c r="K57" i="14"/>
  <c r="K59" i="14" s="1"/>
  <c r="G30" i="18"/>
  <c r="K43" i="5"/>
  <c r="K38" i="5"/>
  <c r="K36" i="5"/>
  <c r="K54" i="5"/>
  <c r="K87" i="10" l="1"/>
  <c r="K90" i="10" s="1"/>
  <c r="K236" i="10"/>
  <c r="G101" i="18"/>
  <c r="K240" i="10" l="1"/>
  <c r="K242" i="10" s="1"/>
  <c r="K29" i="16"/>
  <c r="K31" i="16" s="1"/>
  <c r="K33" i="16" s="1"/>
  <c r="G73" i="18"/>
  <c r="K94" i="10"/>
  <c r="K245" i="10" l="1"/>
  <c r="K246" i="10" s="1"/>
  <c r="G70" i="18"/>
  <c r="G76" i="18" s="1"/>
  <c r="G35" i="17"/>
  <c r="K36" i="16"/>
  <c r="K72" i="10" l="1"/>
  <c r="L244" i="10"/>
  <c r="K76" i="10" l="1"/>
  <c r="G104" i="18"/>
  <c r="G105" i="18" s="1"/>
  <c r="K304" i="10"/>
  <c r="K305" i="10" s="1"/>
  <c r="L290" i="10"/>
  <c r="L308" i="10" l="1"/>
  <c r="L20" i="10" s="1"/>
  <c r="L303" i="10"/>
  <c r="G109" i="18"/>
  <c r="G29" i="18"/>
  <c r="K11" i="5"/>
  <c r="K81" i="10"/>
  <c r="K12" i="5"/>
  <c r="G31" i="18" l="1"/>
  <c r="G32" i="18" s="1"/>
  <c r="G33" i="18" s="1"/>
  <c r="G36" i="18"/>
  <c r="G37" i="18"/>
  <c r="K29" i="5"/>
  <c r="K58" i="5" s="1"/>
  <c r="K96" i="10"/>
  <c r="K45" i="5"/>
  <c r="K59" i="5" s="1"/>
  <c r="K37" i="5"/>
  <c r="K44" i="5"/>
  <c r="H71" i="18"/>
  <c r="L13" i="16"/>
  <c r="L19" i="10"/>
  <c r="G38" i="18" l="1"/>
  <c r="L42" i="5"/>
  <c r="H45" i="18"/>
  <c r="H47" i="18" s="1"/>
  <c r="H49" i="18" s="1"/>
  <c r="L23" i="10"/>
  <c r="L34" i="5"/>
  <c r="L41" i="5"/>
  <c r="K61" i="5"/>
  <c r="K60" i="5"/>
  <c r="H50" i="18" l="1"/>
  <c r="H63" i="18"/>
  <c r="L64" i="5" s="1"/>
  <c r="H52" i="18"/>
  <c r="H66" i="18" s="1"/>
  <c r="H64" i="18"/>
  <c r="L65" i="5" s="1"/>
  <c r="L24" i="10"/>
  <c r="L25" i="10" s="1"/>
  <c r="L32" i="5" l="1"/>
  <c r="L219" i="10"/>
  <c r="L228" i="10" s="1"/>
  <c r="L35" i="5"/>
  <c r="L57" i="5" s="1"/>
  <c r="L32" i="10"/>
  <c r="L205" i="10" s="1"/>
  <c r="L272" i="10"/>
  <c r="L27" i="10"/>
  <c r="L12" i="16"/>
  <c r="L21" i="16" s="1"/>
  <c r="L31" i="10"/>
  <c r="L200" i="10"/>
  <c r="H84" i="18"/>
  <c r="H67" i="18"/>
  <c r="L33" i="10" l="1"/>
  <c r="L274" i="10"/>
  <c r="L275" i="10" s="1"/>
  <c r="L276" i="10" s="1"/>
  <c r="L277" i="10" s="1"/>
  <c r="L49" i="5"/>
  <c r="L201" i="10"/>
  <c r="L202" i="10" s="1"/>
  <c r="L48" i="5"/>
  <c r="L52" i="5" s="1"/>
  <c r="H25" i="17"/>
  <c r="L239" i="10"/>
  <c r="L195" i="10"/>
  <c r="L53" i="5"/>
  <c r="L28" i="10"/>
  <c r="L92" i="10" l="1"/>
  <c r="M199" i="10"/>
  <c r="H74" i="18"/>
  <c r="L238" i="10"/>
  <c r="H75" i="18" s="1"/>
  <c r="L196" i="10"/>
  <c r="L91" i="10" l="1"/>
  <c r="L93" i="10" s="1"/>
  <c r="M194" i="10"/>
  <c r="L285" i="10"/>
  <c r="L286" i="10" s="1"/>
  <c r="L291" i="10" s="1"/>
  <c r="L292" i="10" s="1"/>
  <c r="L296" i="10" s="1"/>
  <c r="L297" i="10" s="1"/>
  <c r="M300" i="10" l="1"/>
  <c r="L86" i="10"/>
  <c r="M295" i="10"/>
  <c r="L57" i="14"/>
  <c r="L59" i="14" s="1"/>
  <c r="H30" i="18"/>
  <c r="L43" i="5"/>
  <c r="L38" i="5"/>
  <c r="L36" i="5"/>
  <c r="L54" i="5"/>
  <c r="L87" i="10" l="1"/>
  <c r="L90" i="10" s="1"/>
  <c r="L236" i="10"/>
  <c r="H101" i="18"/>
  <c r="L240" i="10" l="1"/>
  <c r="L242" i="10" s="1"/>
  <c r="L29" i="16"/>
  <c r="L31" i="16" s="1"/>
  <c r="L33" i="16" s="1"/>
  <c r="H73" i="18"/>
  <c r="L94" i="10"/>
  <c r="H35" i="17" l="1"/>
  <c r="L36" i="16"/>
  <c r="L245" i="10"/>
  <c r="L246" i="10" s="1"/>
  <c r="H70" i="18"/>
  <c r="H76" i="18" s="1"/>
  <c r="L72" i="10" l="1"/>
  <c r="M244" i="10"/>
  <c r="L76" i="10" l="1"/>
  <c r="H104" i="18"/>
  <c r="H105" i="18" s="1"/>
  <c r="L304" i="10"/>
  <c r="L305" i="10" s="1"/>
  <c r="M290" i="10"/>
  <c r="M308" i="10" l="1"/>
  <c r="M20" i="10" s="1"/>
  <c r="M303" i="10"/>
  <c r="L11" i="5"/>
  <c r="L81" i="10"/>
  <c r="L12" i="5"/>
  <c r="H109" i="18"/>
  <c r="H29" i="18"/>
  <c r="L45" i="5" l="1"/>
  <c r="L59" i="5" s="1"/>
  <c r="L29" i="5"/>
  <c r="L58" i="5" s="1"/>
  <c r="L96" i="10"/>
  <c r="L37" i="5"/>
  <c r="L44" i="5"/>
  <c r="I71" i="18"/>
  <c r="M13" i="16"/>
  <c r="M19" i="10"/>
  <c r="H31" i="18"/>
  <c r="H32" i="18" s="1"/>
  <c r="H33" i="18" s="1"/>
  <c r="H36" i="18"/>
  <c r="H37" i="18"/>
  <c r="M42" i="5" l="1"/>
  <c r="I45" i="18"/>
  <c r="I47" i="18" s="1"/>
  <c r="I49" i="18" s="1"/>
  <c r="M23" i="10"/>
  <c r="M34" i="5"/>
  <c r="M41" i="5"/>
  <c r="H38" i="18"/>
  <c r="L60" i="5"/>
  <c r="L61" i="5"/>
  <c r="I50" i="18" l="1"/>
  <c r="M64" i="5"/>
  <c r="G9" i="15" s="1"/>
  <c r="I52" i="18"/>
  <c r="I66" i="18" s="1"/>
  <c r="I67" i="18" s="1"/>
  <c r="I64" i="18"/>
  <c r="M65" i="5" s="1"/>
  <c r="G10" i="15" s="1"/>
  <c r="D95" i="18"/>
  <c r="M24" i="10"/>
  <c r="M25" i="10" s="1"/>
  <c r="J66" i="18" l="1"/>
  <c r="M32" i="5"/>
  <c r="M219" i="10"/>
  <c r="M228" i="10" s="1"/>
  <c r="M35" i="5"/>
  <c r="M57" i="5" s="1"/>
  <c r="M32" i="10"/>
  <c r="M205" i="10" s="1"/>
  <c r="M272" i="10"/>
  <c r="M27" i="10"/>
  <c r="M28" i="10" s="1"/>
  <c r="M12" i="16"/>
  <c r="M31" i="10"/>
  <c r="M200" i="10"/>
  <c r="D96" i="18"/>
  <c r="I84" i="18" s="1"/>
  <c r="D97" i="18"/>
  <c r="D98" i="18" s="1"/>
  <c r="J84" i="18" s="1"/>
  <c r="I86" i="18" l="1"/>
  <c r="H86" i="18" s="1"/>
  <c r="G86" i="18" s="1"/>
  <c r="F86" i="18" s="1"/>
  <c r="E86" i="18" s="1"/>
  <c r="D86" i="18" s="1"/>
  <c r="I87" i="18"/>
  <c r="H87" i="18" s="1"/>
  <c r="G87" i="18" s="1"/>
  <c r="F87" i="18" s="1"/>
  <c r="E87" i="18" s="1"/>
  <c r="D87" i="18" s="1"/>
  <c r="M195" i="10"/>
  <c r="M53" i="5"/>
  <c r="G5" i="15"/>
  <c r="M21" i="16"/>
  <c r="I13" i="17"/>
  <c r="I14" i="17" s="1"/>
  <c r="M33" i="10"/>
  <c r="M274" i="10"/>
  <c r="M275" i="10" s="1"/>
  <c r="M276" i="10" s="1"/>
  <c r="M277" i="10" s="1"/>
  <c r="M49" i="5"/>
  <c r="M201" i="10"/>
  <c r="M202" i="10" s="1"/>
  <c r="M92" i="10" s="1"/>
  <c r="M48" i="5"/>
  <c r="M52" i="5" s="1"/>
  <c r="I25" i="17"/>
  <c r="M239" i="10"/>
  <c r="I108" i="18" l="1"/>
  <c r="M238" i="10"/>
  <c r="I75" i="18" s="1"/>
  <c r="M196" i="10"/>
  <c r="I74" i="18"/>
  <c r="M91" i="10" l="1"/>
  <c r="M93" i="10" s="1"/>
  <c r="M285" i="10"/>
  <c r="M286" i="10" s="1"/>
  <c r="M291" i="10" s="1"/>
  <c r="M292" i="10" s="1"/>
  <c r="M296" i="10" s="1"/>
  <c r="M297" i="10" s="1"/>
  <c r="M86" i="10" s="1"/>
  <c r="H108" i="18"/>
  <c r="H110" i="18" s="1"/>
  <c r="H112" i="18" s="1"/>
  <c r="G108" i="18" l="1"/>
  <c r="G110" i="18" s="1"/>
  <c r="G112" i="18" s="1"/>
  <c r="M87" i="10"/>
  <c r="M90" i="10" s="1"/>
  <c r="M236" i="10"/>
  <c r="I101" i="18"/>
  <c r="M57" i="14"/>
  <c r="M59" i="14" s="1"/>
  <c r="I30" i="18"/>
  <c r="M43" i="5"/>
  <c r="M36" i="5"/>
  <c r="M38" i="5"/>
  <c r="M54" i="5"/>
  <c r="M94" i="10" l="1"/>
  <c r="F108" i="18"/>
  <c r="F110" i="18" s="1"/>
  <c r="F112" i="18" s="1"/>
  <c r="M240" i="10"/>
  <c r="M242" i="10" s="1"/>
  <c r="M29" i="16"/>
  <c r="I73" i="18"/>
  <c r="E108" i="18" l="1"/>
  <c r="E110" i="18" s="1"/>
  <c r="E112" i="18" s="1"/>
  <c r="D108" i="18"/>
  <c r="D110" i="18" s="1"/>
  <c r="M31" i="16"/>
  <c r="M33" i="16" s="1"/>
  <c r="I15" i="17"/>
  <c r="I16" i="17" s="1"/>
  <c r="C19" i="17" s="1"/>
  <c r="M245" i="10"/>
  <c r="M246" i="10" s="1"/>
  <c r="M72" i="10" s="1"/>
  <c r="I70" i="18"/>
  <c r="I76" i="18" s="1"/>
  <c r="M76" i="10" l="1"/>
  <c r="I104" i="18"/>
  <c r="I105" i="18" s="1"/>
  <c r="M304" i="10"/>
  <c r="M305" i="10" s="1"/>
  <c r="I35" i="17"/>
  <c r="M36" i="16"/>
  <c r="K4" i="15"/>
  <c r="K6" i="15" l="1"/>
  <c r="D112" i="18"/>
  <c r="J35" i="17"/>
  <c r="I36" i="17" s="1"/>
  <c r="H36" i="17" s="1"/>
  <c r="G36" i="17" s="1"/>
  <c r="F36" i="17" s="1"/>
  <c r="E36" i="17" s="1"/>
  <c r="D36" i="17" s="1"/>
  <c r="D38" i="17" s="1"/>
  <c r="I29" i="18"/>
  <c r="I109" i="18"/>
  <c r="I110" i="18" s="1"/>
  <c r="I112" i="18" s="1"/>
  <c r="M81" i="10"/>
  <c r="M12" i="5"/>
  <c r="M11" i="5"/>
  <c r="M96" i="10" l="1"/>
  <c r="M45" i="5"/>
  <c r="M59" i="5" s="1"/>
  <c r="G7" i="15" s="1"/>
  <c r="M29" i="5"/>
  <c r="M58" i="5" s="1"/>
  <c r="M37" i="5"/>
  <c r="M44" i="5"/>
  <c r="I31" i="18"/>
  <c r="I32" i="18" s="1"/>
  <c r="I33" i="18" s="1"/>
  <c r="I36" i="18"/>
  <c r="I37" i="18"/>
  <c r="C42" i="15"/>
  <c r="K8" i="15"/>
  <c r="I38" i="18" l="1"/>
  <c r="G6" i="15"/>
  <c r="M61" i="5"/>
  <c r="M60" i="5"/>
  <c r="C18" i="17" l="1"/>
  <c r="J25" i="17" s="1"/>
  <c r="I26" i="17" s="1"/>
  <c r="H26" i="17" s="1"/>
  <c r="G26" i="17" s="1"/>
  <c r="F26" i="17" s="1"/>
  <c r="E26" i="17" s="1"/>
  <c r="D26" i="17" s="1"/>
  <c r="G8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Faculty</author>
  </authors>
  <commentList>
    <comment ref="I14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Faculty:</t>
        </r>
        <r>
          <rPr>
            <sz val="9"/>
            <color indexed="81"/>
            <rFont val="Tahoma"/>
            <family val="2"/>
          </rPr>
          <t xml:space="preserve">
Read from Contro Panel</t>
        </r>
      </text>
    </comment>
  </commentList>
</comments>
</file>

<file path=xl/sharedStrings.xml><?xml version="1.0" encoding="utf-8"?>
<sst xmlns="http://schemas.openxmlformats.org/spreadsheetml/2006/main" count="1076" uniqueCount="461">
  <si>
    <t>Income Statement</t>
  </si>
  <si>
    <t>Sales</t>
  </si>
  <si>
    <t>Cost of Goods Sold</t>
  </si>
  <si>
    <t>Selling, General and Admin</t>
  </si>
  <si>
    <t>Depreciation</t>
  </si>
  <si>
    <t>Interest Expense</t>
  </si>
  <si>
    <t>Income Tax</t>
  </si>
  <si>
    <t>Dividends</t>
  </si>
  <si>
    <t>Retained Earnings</t>
  </si>
  <si>
    <t>Balance Sheet</t>
  </si>
  <si>
    <t>Assets</t>
  </si>
  <si>
    <t>Inventory</t>
  </si>
  <si>
    <t>Other Current Assets</t>
  </si>
  <si>
    <t>Gross Plant, Property &amp; Equipment</t>
  </si>
  <si>
    <t>Accumulated Depreciation</t>
  </si>
  <si>
    <t>Accounts Payable</t>
  </si>
  <si>
    <t>Long Term Debt</t>
  </si>
  <si>
    <t>Deferred Taxes &amp; Other Liabilities</t>
  </si>
  <si>
    <t>Industry Average Ratios</t>
  </si>
  <si>
    <t>Liquidity</t>
  </si>
  <si>
    <t>Current Ratio</t>
  </si>
  <si>
    <t>Quick Ratio</t>
  </si>
  <si>
    <t>Efficiency</t>
  </si>
  <si>
    <t>Sales / Net Fixed Assets</t>
  </si>
  <si>
    <t>Total Asset Turnover</t>
  </si>
  <si>
    <t xml:space="preserve">Profitability </t>
  </si>
  <si>
    <t>EBDITDA / Sales</t>
  </si>
  <si>
    <t>EBIT / Sales</t>
  </si>
  <si>
    <t>Pretax Profit Margin</t>
  </si>
  <si>
    <t>Net Profit Margin  (NI / Sales)</t>
  </si>
  <si>
    <t>Return on Assets</t>
  </si>
  <si>
    <t>Return on Equity</t>
  </si>
  <si>
    <t>Leverage</t>
  </si>
  <si>
    <t>Long-Term Debt / Common Equity</t>
  </si>
  <si>
    <t>Total Debt / Total Assets</t>
  </si>
  <si>
    <t>Dividend Payout</t>
  </si>
  <si>
    <t>Dividend Yield</t>
  </si>
  <si>
    <t>Average</t>
  </si>
  <si>
    <t>Financial Ratios</t>
  </si>
  <si>
    <t>Marktet Ratios</t>
  </si>
  <si>
    <t>Price/Earnings</t>
  </si>
  <si>
    <t>Price/Book</t>
  </si>
  <si>
    <t>Total Assets / Common Equity (Equity Mulitplier)</t>
  </si>
  <si>
    <t>Other Information</t>
  </si>
  <si>
    <t>DuPont Analysis</t>
  </si>
  <si>
    <t>Net Profit Margin (NI/S)</t>
  </si>
  <si>
    <t>Asset Turnover  (S/A)</t>
  </si>
  <si>
    <t>Equity Multiplier (A/E)</t>
  </si>
  <si>
    <t>Number of shares Outstanding (million)</t>
  </si>
  <si>
    <t>Year</t>
  </si>
  <si>
    <t>Additions to Retained Earnings</t>
  </si>
  <si>
    <t>Liabilities and Equity</t>
  </si>
  <si>
    <t xml:space="preserve"> </t>
  </si>
  <si>
    <t>Interest Coverage = EBIT/Int</t>
  </si>
  <si>
    <t>Cash Coverage = (EBIT + Depr)/Int</t>
  </si>
  <si>
    <t>Segmented Sales Data</t>
  </si>
  <si>
    <t>Unit Volume</t>
  </si>
  <si>
    <t xml:space="preserve">Average Selling Price </t>
  </si>
  <si>
    <t>Flat Products ($ / ton)</t>
  </si>
  <si>
    <t>Rolled Product ($ / ton)</t>
  </si>
  <si>
    <t>Research and Development</t>
  </si>
  <si>
    <t>Non-Operating Income / (Expense)</t>
  </si>
  <si>
    <t>Accounts Receivable</t>
  </si>
  <si>
    <t>Interest Income</t>
  </si>
  <si>
    <t>$ mm</t>
  </si>
  <si>
    <t>Company Name</t>
  </si>
  <si>
    <t xml:space="preserve">Ticker </t>
  </si>
  <si>
    <t>Latest Fiscal year end date</t>
  </si>
  <si>
    <t>Fiscal year end date</t>
  </si>
  <si>
    <t>Fiscal year</t>
  </si>
  <si>
    <t>Gross Profit</t>
  </si>
  <si>
    <t>Operating Income Before Deprec. (EBITDA)</t>
  </si>
  <si>
    <t>Operating Profit (EBIT)</t>
  </si>
  <si>
    <t>Pretax Income (EBT)</t>
  </si>
  <si>
    <t>Net Income</t>
  </si>
  <si>
    <t>Flat Products</t>
  </si>
  <si>
    <t>Rolled Products</t>
  </si>
  <si>
    <t>Product</t>
  </si>
  <si>
    <t>tons</t>
  </si>
  <si>
    <t>$ / ton</t>
  </si>
  <si>
    <t>mm</t>
  </si>
  <si>
    <t>$ / share</t>
  </si>
  <si>
    <t>Units</t>
  </si>
  <si>
    <t>Total Current Assets</t>
  </si>
  <si>
    <t>Net Plant, Property &amp; Equipment</t>
  </si>
  <si>
    <t>Total Assets</t>
  </si>
  <si>
    <t>Total Current Liabilities</t>
  </si>
  <si>
    <t>Total Liabilities</t>
  </si>
  <si>
    <t>Total Common Equity</t>
  </si>
  <si>
    <t>Total Liabilities &amp; Equity</t>
  </si>
  <si>
    <t>Common Stock / Paid in Capital</t>
  </si>
  <si>
    <t xml:space="preserve">   % growth</t>
  </si>
  <si>
    <t>%</t>
  </si>
  <si>
    <t>n/a</t>
  </si>
  <si>
    <t>Total Sales</t>
  </si>
  <si>
    <t>Balance Check</t>
  </si>
  <si>
    <t>Earnings per share</t>
  </si>
  <si>
    <t>Dividends per share</t>
  </si>
  <si>
    <t>Payout Ratio</t>
  </si>
  <si>
    <t>Days Sales Outstanding</t>
  </si>
  <si>
    <t>Day Payables Outstanding</t>
  </si>
  <si>
    <t>days</t>
  </si>
  <si>
    <t>Inventory Turns</t>
  </si>
  <si>
    <t>x's</t>
  </si>
  <si>
    <t>Operating Cycle</t>
  </si>
  <si>
    <t>Cash Cycle</t>
  </si>
  <si>
    <t>EBITDA margin</t>
  </si>
  <si>
    <t>EBIT margin</t>
  </si>
  <si>
    <t>Net Profit Margin</t>
  </si>
  <si>
    <t>A/R as a % of Sales</t>
  </si>
  <si>
    <t>Inventory as a % of COGS</t>
  </si>
  <si>
    <t>A/P as a % of COGS</t>
  </si>
  <si>
    <t>Inventory Period</t>
  </si>
  <si>
    <t>Times Interest Earned (=EBIT/Int)</t>
  </si>
  <si>
    <t>Cash Coverage (=(EBIT+Depr)/Int)</t>
  </si>
  <si>
    <r>
      <t>Return on Invested Capital (</t>
    </r>
    <r>
      <rPr>
        <i/>
        <sz val="12"/>
        <color theme="1"/>
        <rFont val="Calibri"/>
        <family val="2"/>
        <scheme val="minor"/>
      </rPr>
      <t>ROIC)</t>
    </r>
  </si>
  <si>
    <t>EPS</t>
  </si>
  <si>
    <t>$ / Share</t>
  </si>
  <si>
    <t>DPS</t>
  </si>
  <si>
    <t>Days Payables Outstanding</t>
  </si>
  <si>
    <t>Common Size Income Statement (% of Sales)</t>
  </si>
  <si>
    <t>Cash Flows from Operating Activities</t>
  </si>
  <si>
    <t>Add Depreciation Expense</t>
  </si>
  <si>
    <t>Add Increase in Accounts Payable</t>
  </si>
  <si>
    <t>Add Increase in Deferred Taxes and Other Liabilities</t>
  </si>
  <si>
    <t>Cash Flows from Investing Activities</t>
  </si>
  <si>
    <t>Cash Flows from Financing Activities</t>
  </si>
  <si>
    <t>Issuance/(Repayment) of Long-Term Debt</t>
  </si>
  <si>
    <t>Cash Dividends Paid to Shareholders</t>
  </si>
  <si>
    <t>Total Cash Flows from Operations</t>
  </si>
  <si>
    <t>Total Cash Flows from Investing</t>
  </si>
  <si>
    <t>Less Increase in Account Receivables</t>
  </si>
  <si>
    <t>Less Increase in Inventories</t>
  </si>
  <si>
    <t>Less Increase in Other Current Assets</t>
  </si>
  <si>
    <t xml:space="preserve">Total Cash Flows from Financing </t>
  </si>
  <si>
    <t>Accounts receivable</t>
  </si>
  <si>
    <t>Beginning of period</t>
  </si>
  <si>
    <t>Increases / (decreases)</t>
  </si>
  <si>
    <t>End of period</t>
  </si>
  <si>
    <t>AR as % of sales</t>
  </si>
  <si>
    <t>Days sales outstanding (DSO)</t>
  </si>
  <si>
    <t xml:space="preserve">Inventory </t>
  </si>
  <si>
    <t>Inventory as % of COGS</t>
  </si>
  <si>
    <t>Inventory turnover</t>
  </si>
  <si>
    <t>Accounts payable</t>
  </si>
  <si>
    <t>AP as % of COGS</t>
  </si>
  <si>
    <t>Days payables outstanding (DPO)</t>
  </si>
  <si>
    <t xml:space="preserve">Long term debt </t>
  </si>
  <si>
    <t xml:space="preserve">Additional borrowing / (pay down) </t>
  </si>
  <si>
    <t>Plus: Net income</t>
  </si>
  <si>
    <t>Less: Common dividends</t>
  </si>
  <si>
    <t>Cash Flow Statement</t>
  </si>
  <si>
    <t>Balance Sheet Schedules</t>
  </si>
  <si>
    <t>$mm</t>
  </si>
  <si>
    <t>Working Capital Schedules</t>
  </si>
  <si>
    <t xml:space="preserve">  Accrued Expenses &amp; Other Liabilities as a % of Sales</t>
  </si>
  <si>
    <t>Accrued Expenses &amp; Current Other Liabilities</t>
  </si>
  <si>
    <t>Add Capital expenditures</t>
  </si>
  <si>
    <t>Capex</t>
  </si>
  <si>
    <t>Long Term Asset Schedules</t>
  </si>
  <si>
    <t>Other Long Term Assets</t>
  </si>
  <si>
    <t>Long Term Liability Schedules</t>
  </si>
  <si>
    <t>Deferred Taxes and Other Liabilities</t>
  </si>
  <si>
    <t>Equity Schedule</t>
  </si>
  <si>
    <t>Capital expenditures as % of sales</t>
  </si>
  <si>
    <t>Common stock / Paid in Capital</t>
  </si>
  <si>
    <t>End of period (gross)</t>
  </si>
  <si>
    <t>End of period (net)</t>
  </si>
  <si>
    <t>Less Accumulated Depreciation</t>
  </si>
  <si>
    <t>Other current Assets as a % of Sales</t>
  </si>
  <si>
    <t>Add Increase in Accured Exp. &amp; Other Current Liabilities</t>
  </si>
  <si>
    <t>Capital Expenditures</t>
  </si>
  <si>
    <t>Investment in Other Long Term Assets</t>
  </si>
  <si>
    <t>Revolver (Short Term Debt)</t>
  </si>
  <si>
    <t xml:space="preserve">Gross Profit Margin </t>
  </si>
  <si>
    <t>Margins</t>
  </si>
  <si>
    <t>Research and Development Margin</t>
  </si>
  <si>
    <t>Selling, General and Admin. Margin</t>
  </si>
  <si>
    <t>Tax Rate</t>
  </si>
  <si>
    <t xml:space="preserve"> Other Long Term Assets as % of Sales</t>
  </si>
  <si>
    <t xml:space="preserve">  Interest Rate on Revolver</t>
  </si>
  <si>
    <t>Interest expense on Long Term Debt</t>
  </si>
  <si>
    <t>Depreciation as a % of net Fixed Assets</t>
  </si>
  <si>
    <t xml:space="preserve">  Interest Expense on Revolver</t>
  </si>
  <si>
    <t>Non-Operating Income % of Sales</t>
  </si>
  <si>
    <t xml:space="preserve">   Interest Rate on Long Term Debt</t>
  </si>
  <si>
    <t>Required Operating Cash</t>
  </si>
  <si>
    <t>Operating Cash as % of sales</t>
  </si>
  <si>
    <t>Less Increase in Operating Cash</t>
  </si>
  <si>
    <t xml:space="preserve">Required Operating Cash </t>
  </si>
  <si>
    <t>Issuance/(Repayment) of Revolver</t>
  </si>
  <si>
    <t>Shares Outstanding</t>
  </si>
  <si>
    <t>Property, Plant and Equipment</t>
  </si>
  <si>
    <t>Beginning of period (gross)</t>
  </si>
  <si>
    <t>From Sale/(Repurchase) of Treasury Stock</t>
  </si>
  <si>
    <t>Plus: new share issuances (repurchases)</t>
  </si>
  <si>
    <t xml:space="preserve">   Price per share</t>
  </si>
  <si>
    <t xml:space="preserve">   Price Earnings Ratio</t>
  </si>
  <si>
    <t xml:space="preserve"> Beginning of Period</t>
  </si>
  <si>
    <t xml:space="preserve"> Plus new shares issued (repurchased)</t>
  </si>
  <si>
    <t xml:space="preserve"> End of Period</t>
  </si>
  <si>
    <t xml:space="preserve">Historical </t>
  </si>
  <si>
    <t>Industry</t>
  </si>
  <si>
    <t>Beginning of Period</t>
  </si>
  <si>
    <t>Increases (decreases)</t>
  </si>
  <si>
    <t>End of Period</t>
  </si>
  <si>
    <t xml:space="preserve">Excess Cash &amp; Mar. Sec. </t>
  </si>
  <si>
    <t>Net Change in Excess Cash &amp; Mar. Sec.</t>
  </si>
  <si>
    <t>Beginning Excess Cash &amp; Mar. Sec.</t>
  </si>
  <si>
    <t>Net Change in Excess Cash  &amp; Mar. Sec.</t>
  </si>
  <si>
    <t>Ending Excess Cash &amp; Mar. Sec.</t>
  </si>
  <si>
    <t>Excess Cash &amp; Mar. Sec.</t>
  </si>
  <si>
    <t xml:space="preserve">  Excess Cash &amp; Mar. Sec Beginning of Period</t>
  </si>
  <si>
    <t>Total Cash = Required Operating Cash + Excess Cash &amp; Mar. Sec.</t>
  </si>
  <si>
    <t xml:space="preserve">Interest Rate on Total Cash  </t>
  </si>
  <si>
    <t xml:space="preserve">Interest Income Earned on Total Cash </t>
  </si>
  <si>
    <t>Circuit Breaker</t>
  </si>
  <si>
    <t>OFF</t>
  </si>
  <si>
    <t>ON</t>
  </si>
  <si>
    <t xml:space="preserve">  Excess Cash and Mar. Sec. Available to Paydown Revolver</t>
  </si>
  <si>
    <t>Investment Module</t>
  </si>
  <si>
    <t>Required Investments</t>
  </si>
  <si>
    <t>Increase in Operating Cash</t>
  </si>
  <si>
    <t>Increase in Accounts Receivable</t>
  </si>
  <si>
    <t>Increase in Inventory</t>
  </si>
  <si>
    <t>Increase in Other Current Assets</t>
  </si>
  <si>
    <t>Increase in Total Current Assets</t>
  </si>
  <si>
    <t>CapEx (i.e. Increase in Fixed Assets)</t>
  </si>
  <si>
    <t>Increase in Other Long Term Assets</t>
  </si>
  <si>
    <t>Total Requied Investment in Assets</t>
  </si>
  <si>
    <t>Financing Module</t>
  </si>
  <si>
    <t>Spontaneous Financing</t>
  </si>
  <si>
    <t>Increase in Accounts Payable</t>
  </si>
  <si>
    <t>Increase in Accrued Exp. And Other Current Liabilities</t>
  </si>
  <si>
    <t>Increase in Deferred Taxes and Other Liabilities</t>
  </si>
  <si>
    <t>Total Spontaneous Financing</t>
  </si>
  <si>
    <t>Internal Financing</t>
  </si>
  <si>
    <t>Add Depreciation</t>
  </si>
  <si>
    <t>Less Minimum Dividends</t>
  </si>
  <si>
    <t>Total Internal Financing</t>
  </si>
  <si>
    <t>Total Spontaneous and Internal Financing</t>
  </si>
  <si>
    <t>Revolver</t>
  </si>
  <si>
    <t>Less min(Cash Available, Revolver (BOP))</t>
  </si>
  <si>
    <t>Required Financing</t>
  </si>
  <si>
    <t>Sources of Financing</t>
  </si>
  <si>
    <t>Long Term Debt (Exogenously determined)</t>
  </si>
  <si>
    <t>Operating Income Before Depreciation (EBITDA)</t>
  </si>
  <si>
    <t>Equity (Exogenousy determined)</t>
  </si>
  <si>
    <t>Required Financing after accounting for LTD and Equity</t>
  </si>
  <si>
    <t>Model Plugs:  Revolver and Excess Cash &amp; Mar. Sec.</t>
  </si>
  <si>
    <t xml:space="preserve">  Less Required  Financing after LTD and Equity</t>
  </si>
  <si>
    <t>Setting a Debt to Equity Ratio</t>
  </si>
  <si>
    <t>Debt to Equity Ratio</t>
  </si>
  <si>
    <t>Desired Debt to Equity Ratio</t>
  </si>
  <si>
    <t>Difference (Desired - Actual)</t>
  </si>
  <si>
    <t>Note:  Use Solver to set Debt to Equity Ratio</t>
  </si>
  <si>
    <t>1)  leave objective cell blank</t>
  </si>
  <si>
    <t>2)  in constraints:  difference  = 0</t>
  </si>
  <si>
    <t>Common Size Balance Sheet (% of Sales)</t>
  </si>
  <si>
    <t>Specific Purchases / (Sales of Fixed Assets)</t>
  </si>
  <si>
    <t>Assumptions for ProForma Financial Statements</t>
  </si>
  <si>
    <t>Fiscal Year</t>
  </si>
  <si>
    <t>Fiscal Year End</t>
  </si>
  <si>
    <t>Sales Data</t>
  </si>
  <si>
    <t xml:space="preserve">Flat Product </t>
  </si>
  <si>
    <t xml:space="preserve">   Volumn Growth </t>
  </si>
  <si>
    <t xml:space="preserve">   Unit Price Growth </t>
  </si>
  <si>
    <t xml:space="preserve">Rolled Product </t>
  </si>
  <si>
    <t>Dividend Payout Ratio</t>
  </si>
  <si>
    <t>Balance Sheet Accounts</t>
  </si>
  <si>
    <t>Working Capital Accounts</t>
  </si>
  <si>
    <t>Fixed Assets</t>
  </si>
  <si>
    <t>Other Long Term Assets as % of Sales</t>
  </si>
  <si>
    <t xml:space="preserve"> New shares issued (repurchased)</t>
  </si>
  <si>
    <t xml:space="preserve">   Price Earnings Ratio (for forecasting share price)</t>
  </si>
  <si>
    <t>Total Cash (Required Cash + Marketabe Securities)</t>
  </si>
  <si>
    <t xml:space="preserve">   Interest Income Earned on Total Cash </t>
  </si>
  <si>
    <t>Key Model Drivers:</t>
  </si>
  <si>
    <t>Flat Product</t>
  </si>
  <si>
    <t xml:space="preserve">   Sales Volumn Growth</t>
  </si>
  <si>
    <t xml:space="preserve">   Unit Price Growth</t>
  </si>
  <si>
    <t>Rolled Product</t>
  </si>
  <si>
    <t>Gross Profit Margin</t>
  </si>
  <si>
    <t>Control Panel</t>
  </si>
  <si>
    <t>Key Performance Indicators:</t>
  </si>
  <si>
    <t>Year of Interest:</t>
  </si>
  <si>
    <t>Free Cash Flow to Equity</t>
  </si>
  <si>
    <t xml:space="preserve"> % growth</t>
  </si>
  <si>
    <t>Free Cash Flow to Equity Buildup</t>
  </si>
  <si>
    <t>Dividends + Share Buybacks  to FCFE Ratio</t>
  </si>
  <si>
    <t>Total Cash Flow from Debt Issuance (Repayment)</t>
  </si>
  <si>
    <t>Cash Flow from Debt Issuance (Repayment)</t>
  </si>
  <si>
    <t>Required Return on Equity</t>
  </si>
  <si>
    <t>Risk-Free Rate</t>
  </si>
  <si>
    <t>Equity Risk Premium on Market</t>
  </si>
  <si>
    <t>Equity Beta (i.e. levered)</t>
  </si>
  <si>
    <t>Terminal Growth Rate of Dividends</t>
  </si>
  <si>
    <t>Terminal Growth Rate of FCFE</t>
  </si>
  <si>
    <t>Dividend Discount Model</t>
  </si>
  <si>
    <t>Projected Dividends</t>
  </si>
  <si>
    <t>Valuation Date</t>
  </si>
  <si>
    <t xml:space="preserve">Terminal </t>
  </si>
  <si>
    <t>Present Value of Dividends</t>
  </si>
  <si>
    <t>Projected FCFE</t>
  </si>
  <si>
    <t>Present Value of FCFE</t>
  </si>
  <si>
    <t>FCFE Valuation</t>
  </si>
  <si>
    <t>Add Cash and Marketable Securities</t>
  </si>
  <si>
    <t>Value of Equity</t>
  </si>
  <si>
    <t>Difference from DDM Value can be thaught of as the value of control</t>
  </si>
  <si>
    <t>Less After Tax Interest Income (Int. Inc. (1-taxRate))</t>
  </si>
  <si>
    <t>NonCash ROE (2019)</t>
  </si>
  <si>
    <t>NonCash Net Income (2019)</t>
  </si>
  <si>
    <t xml:space="preserve">Equity Reinvestment Rate </t>
  </si>
  <si>
    <t>Expected Growth Rate of FCFE</t>
  </si>
  <si>
    <t>Growth Rate of Net Income</t>
  </si>
  <si>
    <t>Assumptions</t>
  </si>
  <si>
    <t xml:space="preserve">   2) Book Value of Debt</t>
  </si>
  <si>
    <t xml:space="preserve">   3) Book Value of Equity</t>
  </si>
  <si>
    <t>Cost of Equity</t>
  </si>
  <si>
    <t>beta (unlevered)</t>
  </si>
  <si>
    <t>beta (levered)</t>
  </si>
  <si>
    <t>Cost of Equity (CAPM)</t>
  </si>
  <si>
    <t>Risk Free Interst Rate</t>
  </si>
  <si>
    <t>Market Risk Premium</t>
  </si>
  <si>
    <t>WACC</t>
  </si>
  <si>
    <t>Cost of Debt</t>
  </si>
  <si>
    <t>Before Tax Required Return on Debt</t>
  </si>
  <si>
    <t>After Tax Rquired Return on Debt</t>
  </si>
  <si>
    <t>Net Debt</t>
  </si>
  <si>
    <t>Equity Value</t>
  </si>
  <si>
    <t>b(L) = b(U)(1+D/E(1-T))</t>
  </si>
  <si>
    <t>r = rf+b(L)(rm-rf)</t>
  </si>
  <si>
    <t>Book Values from last historic year</t>
  </si>
  <si>
    <t>Book Value from last historic year</t>
  </si>
  <si>
    <t>Using book values above</t>
  </si>
  <si>
    <t>Assumed beta of the unlevered firm (i.e. beta of assets)</t>
  </si>
  <si>
    <t xml:space="preserve">Weighted Average Cost of Capital </t>
  </si>
  <si>
    <t>Equity Weight (% of total)</t>
  </si>
  <si>
    <t>Free Cash Flow to Firm</t>
  </si>
  <si>
    <t>Weighted Average Cost of Capital</t>
  </si>
  <si>
    <t xml:space="preserve">   EBIT</t>
  </si>
  <si>
    <t>Gross Cash Flow</t>
  </si>
  <si>
    <t xml:space="preserve">   Add Depreciation Expense</t>
  </si>
  <si>
    <t xml:space="preserve">   Tax Rate</t>
  </si>
  <si>
    <t xml:space="preserve">   EBIT(1-T)</t>
  </si>
  <si>
    <t xml:space="preserve">   Add Deferred Tax</t>
  </si>
  <si>
    <t xml:space="preserve">   Less Increase in Account Receivables</t>
  </si>
  <si>
    <t xml:space="preserve">   Less Increase in Inventories</t>
  </si>
  <si>
    <t xml:space="preserve">   Less Increase in Other Current Assets</t>
  </si>
  <si>
    <t xml:space="preserve">   Add Increase in Accounts Payable</t>
  </si>
  <si>
    <t xml:space="preserve">   Add Increase in Accured Exp. &amp; Other Current Liabilities</t>
  </si>
  <si>
    <t xml:space="preserve">   Less CapEx</t>
  </si>
  <si>
    <t xml:space="preserve">   Less Investment in Other Long Term Assets</t>
  </si>
  <si>
    <t>Financing Cash Flows</t>
  </si>
  <si>
    <t xml:space="preserve">   Less After Tax Interest Income (Int. Inc. (1-Tc))</t>
  </si>
  <si>
    <t xml:space="preserve">   Add After Tax Interest Expense (Int. Exp. (1-Tc))</t>
  </si>
  <si>
    <t xml:space="preserve">   Less Net New Debt</t>
  </si>
  <si>
    <t xml:space="preserve">   Add Dividends</t>
  </si>
  <si>
    <t xml:space="preserve">   Less Net New Shares</t>
  </si>
  <si>
    <t>Total Financing Cash Flows</t>
  </si>
  <si>
    <t xml:space="preserve">   Increase in Cash and Markatable Securities</t>
  </si>
  <si>
    <t>Increase in Non-Cash Working Capital</t>
  </si>
  <si>
    <t>Total Capital Investments</t>
  </si>
  <si>
    <t>Total Reinvestment in Firm</t>
  </si>
  <si>
    <t xml:space="preserve">   Reinvestment Rate (K)</t>
  </si>
  <si>
    <t xml:space="preserve">   Return on Invested Capital </t>
  </si>
  <si>
    <t>NOPLAT</t>
  </si>
  <si>
    <t>Valuation</t>
  </si>
  <si>
    <t xml:space="preserve">   Discount Period</t>
  </si>
  <si>
    <t>years</t>
  </si>
  <si>
    <t xml:space="preserve">   Assumed ROIC</t>
  </si>
  <si>
    <t xml:space="preserve">   NOPLAT (t+1)</t>
  </si>
  <si>
    <t xml:space="preserve">   NOPLAT in last Forecast Period, t</t>
  </si>
  <si>
    <t>Enterprise Value</t>
  </si>
  <si>
    <t xml:space="preserve">   WACC</t>
  </si>
  <si>
    <t xml:space="preserve">   Implied Reinvestment Rate</t>
  </si>
  <si>
    <t>Less Excess Cash and Marketable Securities</t>
  </si>
  <si>
    <t>Less Net Debt</t>
  </si>
  <si>
    <t>Equity Value per Share</t>
  </si>
  <si>
    <t>$</t>
  </si>
  <si>
    <t xml:space="preserve">   Length of each period</t>
  </si>
  <si>
    <t>Middle of Period</t>
  </si>
  <si>
    <t>Average of [ long term geometric return on S&amp;P500, Implied Rate on S&amp;P500]</t>
  </si>
  <si>
    <t>FCFF</t>
  </si>
  <si>
    <t xml:space="preserve">   Normalized FCFF in last Forecast Period, t</t>
  </si>
  <si>
    <t xml:space="preserve">   Normalized FCFF in first continuing value Period, t+1</t>
  </si>
  <si>
    <t>Enterprise Vaue (Middle of Period)</t>
  </si>
  <si>
    <t>Enterprise Value (End of Period)</t>
  </si>
  <si>
    <t>Normalized Cash Flows</t>
  </si>
  <si>
    <t xml:space="preserve">   Assumed Growth Rate of NOPLAT in Continuing Value Period</t>
  </si>
  <si>
    <t>Less Required Operating Cash</t>
  </si>
  <si>
    <t>Debt Weight*After-Tax Cost of Debt+ Equity Weight*Required Return on Equity</t>
  </si>
  <si>
    <t>Debt/(Debt+Equity)</t>
  </si>
  <si>
    <t>Equity/(Debt+Equity)</t>
  </si>
  <si>
    <t>Other Ratios</t>
  </si>
  <si>
    <t>Reinvestment Rate (K)</t>
  </si>
  <si>
    <t xml:space="preserve">Return on Invested Capital </t>
  </si>
  <si>
    <t xml:space="preserve">   ROIC (stable period)</t>
  </si>
  <si>
    <t xml:space="preserve">   Growth Rate (stable period)</t>
  </si>
  <si>
    <t>Terminal Value Parameters</t>
  </si>
  <si>
    <t xml:space="preserve">   WACC (stable period)</t>
  </si>
  <si>
    <t>Sensitivity Data Tables:</t>
  </si>
  <si>
    <t>Sales Volumn Growth (Flat Product)</t>
  </si>
  <si>
    <t>Sensitivity Data Tables</t>
  </si>
  <si>
    <t>Growth Rate during Stable Period</t>
  </si>
  <si>
    <t>WACC During Stable Period</t>
  </si>
  <si>
    <t>Scenario Analysis</t>
  </si>
  <si>
    <t>Scenario</t>
  </si>
  <si>
    <t>Base Case</t>
  </si>
  <si>
    <t>Custom Case</t>
  </si>
  <si>
    <t>Case Number</t>
  </si>
  <si>
    <t>Case Number:</t>
  </si>
  <si>
    <t xml:space="preserve">    </t>
  </si>
  <si>
    <t>Sales Volumn Growth (Flat)</t>
  </si>
  <si>
    <t>Sales Volumn Growth (Rolled)</t>
  </si>
  <si>
    <t>WACC (stable period)</t>
  </si>
  <si>
    <t>ROIC (stable period)</t>
  </si>
  <si>
    <t>Growth Rate (stable period)</t>
  </si>
  <si>
    <t>Output</t>
  </si>
  <si>
    <t xml:space="preserve">Incremental Downside and Upside Sensitivity </t>
  </si>
  <si>
    <t>Low-Base</t>
  </si>
  <si>
    <t>High-Base</t>
  </si>
  <si>
    <t xml:space="preserve">Total </t>
  </si>
  <si>
    <t>Counter</t>
  </si>
  <si>
    <t>Small</t>
  </si>
  <si>
    <t>Match</t>
  </si>
  <si>
    <t>Parameter</t>
  </si>
  <si>
    <t>Base Case + 10%</t>
  </si>
  <si>
    <t>Base Case - 10%</t>
  </si>
  <si>
    <t>Net Debt Weight (% of total)</t>
  </si>
  <si>
    <t>Inglis' Steel Mills</t>
  </si>
  <si>
    <t>ISM</t>
  </si>
  <si>
    <t>2016-2020</t>
  </si>
  <si>
    <t>2014-2020</t>
  </si>
  <si>
    <t>Assumptions (Continuing Value Period)</t>
  </si>
  <si>
    <t>20-year US T-Bond yield</t>
  </si>
  <si>
    <t>Net Debt / Equity Ratio</t>
  </si>
  <si>
    <t xml:space="preserve">   1) Changing Capital Structure</t>
  </si>
  <si>
    <t>Percentage Up / Down</t>
  </si>
  <si>
    <t>Sales Volumn Growth (Flat) - Low</t>
  </si>
  <si>
    <t>Sales Volumn Growth (Rolled) - Low</t>
  </si>
  <si>
    <t>Gross Profit Margin - Low</t>
  </si>
  <si>
    <t>Dividend Payout Ratio - Low</t>
  </si>
  <si>
    <t>Days Sales Outstanding - Low</t>
  </si>
  <si>
    <t>Inventory Turns - Low</t>
  </si>
  <si>
    <t>Days Payables Outstanding - Low</t>
  </si>
  <si>
    <t>Capital expenditures as % of sales - Low</t>
  </si>
  <si>
    <t>WACC (stable period) - Low</t>
  </si>
  <si>
    <t>ROIC (stable period) - Low</t>
  </si>
  <si>
    <t>Growth Rate (stable period) - Low</t>
  </si>
  <si>
    <t>Sales Volumn Growth (Flat) - High</t>
  </si>
  <si>
    <t>Sales Volumn Growth (Rolled) - High</t>
  </si>
  <si>
    <t>Gross Profit Margin - High</t>
  </si>
  <si>
    <t>Dividend Payout Ratio - High</t>
  </si>
  <si>
    <t>Days Sales Outstanding - High</t>
  </si>
  <si>
    <t>Inventory Turns - High</t>
  </si>
  <si>
    <t>Days Payables Outstanding - High</t>
  </si>
  <si>
    <t>Capital expenditures as % of sales - High</t>
  </si>
  <si>
    <t>WACC (stable period) - High</t>
  </si>
  <si>
    <t>ROIC (stable period) - High</t>
  </si>
  <si>
    <t>Growth Rate (stable period) - High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</si>
</sst>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9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#,##0.0_);[Red]\(#,##0.0\)"/>
    <numFmt numFmtId="166" formatCode="0.0%"/>
    <numFmt numFmtId="167" formatCode="&quot;$&quot;#,##0.00"/>
    <numFmt numFmtId="168" formatCode=";;;"/>
    <numFmt numFmtId="169" formatCode="#,##0.0\ &quot;X&quot;"/>
    <numFmt numFmtId="170" formatCode="0&quot;A&quot;"/>
    <numFmt numFmtId="171" formatCode="0.0%;\(0.0%\)"/>
    <numFmt numFmtId="172" formatCode="#,##0.0_);\(#,##0.0\)"/>
    <numFmt numFmtId="173" formatCode="_(* #,##0.0_);_(* \(#,##0.0\);_(* &quot;-&quot;??_);_(@_)"/>
    <numFmt numFmtId="174" formatCode="#,##0.0"/>
    <numFmt numFmtId="175" formatCode="0&quot;P&quot;"/>
    <numFmt numFmtId="176" formatCode="0.000%"/>
    <numFmt numFmtId="177" formatCode="0.0_);\(0.0\)"/>
    <numFmt numFmtId="178" formatCode="#&quot;P&quot;"/>
    <numFmt numFmtId="179" formatCode="#&quot;A&quot;"/>
  </numFmts>
  <fonts count="26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name val="Calibri"/>
      <family val="2"/>
      <scheme val="minor"/>
    </font>
    <font>
      <sz val="12"/>
      <color rgb="FF0000FF"/>
      <name val="Calibri"/>
      <family val="2"/>
      <scheme val="minor"/>
    </font>
    <font>
      <b/>
      <sz val="18"/>
      <name val="Cambria"/>
      <family val="2"/>
      <scheme val="major"/>
    </font>
    <font>
      <b/>
      <sz val="13"/>
      <name val="Calibri"/>
      <family val="2"/>
      <scheme val="minor"/>
    </font>
    <font>
      <sz val="12"/>
      <color rgb="FFC00000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C00000"/>
      <name val="Calibri"/>
      <family val="2"/>
      <scheme val="minor"/>
    </font>
    <font>
      <sz val="12"/>
      <color rgb="FF000000"/>
      <name val="Calibri"/>
      <family val="2"/>
      <scheme val="minor"/>
    </font>
    <font>
      <sz val="18"/>
      <color rgb="FF000000"/>
      <name val="Cambria"/>
      <family val="1"/>
      <scheme val="maj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rgb="FF00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color rgb="FF0000FE"/>
      <name val="Calibri"/>
      <family val="2"/>
      <scheme val="minor"/>
    </font>
    <font>
      <sz val="12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thick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</borders>
  <cellStyleXfs count="26">
    <xf numFmtId="0" fontId="0" fillId="0" borderId="0"/>
    <xf numFmtId="9" fontId="2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</cellStyleXfs>
  <cellXfs count="322">
    <xf numFmtId="0" fontId="0" fillId="0" borderId="0" xfId="0"/>
    <xf numFmtId="165" fontId="0" fillId="0" borderId="0" xfId="0" applyNumberFormat="1"/>
    <xf numFmtId="0" fontId="5" fillId="0" borderId="0" xfId="0" applyFont="1"/>
    <xf numFmtId="2" fontId="0" fillId="0" borderId="0" xfId="0" applyNumberFormat="1"/>
    <xf numFmtId="166" fontId="0" fillId="0" borderId="0" xfId="1" applyNumberFormat="1" applyFont="1"/>
    <xf numFmtId="0" fontId="0" fillId="0" borderId="3" xfId="0" applyBorder="1"/>
    <xf numFmtId="0" fontId="5" fillId="0" borderId="3" xfId="0" applyFont="1" applyBorder="1"/>
    <xf numFmtId="166" fontId="0" fillId="0" borderId="3" xfId="1" applyNumberFormat="1" applyFont="1" applyBorder="1"/>
    <xf numFmtId="169" fontId="0" fillId="0" borderId="3" xfId="0" applyNumberFormat="1" applyBorder="1"/>
    <xf numFmtId="0" fontId="0" fillId="2" borderId="0" xfId="0" applyFill="1"/>
    <xf numFmtId="0" fontId="0" fillId="0" borderId="4" xfId="0" applyBorder="1"/>
    <xf numFmtId="0" fontId="0" fillId="0" borderId="0" xfId="0" applyBorder="1"/>
    <xf numFmtId="0" fontId="0" fillId="0" borderId="0" xfId="0" applyFont="1"/>
    <xf numFmtId="0" fontId="10" fillId="0" borderId="0" xfId="2" applyFont="1"/>
    <xf numFmtId="2" fontId="9" fillId="0" borderId="0" xfId="0" applyNumberFormat="1" applyFont="1"/>
    <xf numFmtId="0" fontId="0" fillId="0" borderId="5" xfId="0" applyBorder="1"/>
    <xf numFmtId="165" fontId="0" fillId="0" borderId="3" xfId="0" applyNumberFormat="1" applyBorder="1"/>
    <xf numFmtId="10" fontId="0" fillId="0" borderId="3" xfId="1" applyNumberFormat="1" applyFont="1" applyBorder="1"/>
    <xf numFmtId="40" fontId="0" fillId="0" borderId="3" xfId="0" applyNumberFormat="1" applyBorder="1"/>
    <xf numFmtId="166" fontId="9" fillId="0" borderId="0" xfId="1" applyNumberFormat="1" applyFont="1"/>
    <xf numFmtId="169" fontId="9" fillId="0" borderId="0" xfId="0" applyNumberFormat="1" applyFont="1"/>
    <xf numFmtId="165" fontId="9" fillId="0" borderId="0" xfId="0" applyNumberFormat="1" applyFont="1"/>
    <xf numFmtId="0" fontId="0" fillId="0" borderId="0" xfId="0"/>
    <xf numFmtId="14" fontId="0" fillId="3" borderId="2" xfId="0" applyNumberFormat="1" applyFill="1" applyBorder="1"/>
    <xf numFmtId="0" fontId="0" fillId="3" borderId="0" xfId="0" applyFill="1"/>
    <xf numFmtId="164" fontId="8" fillId="3" borderId="0" xfId="0" applyNumberFormat="1" applyFont="1" applyFill="1"/>
    <xf numFmtId="172" fontId="0" fillId="3" borderId="0" xfId="0" applyNumberFormat="1" applyFill="1"/>
    <xf numFmtId="172" fontId="5" fillId="3" borderId="0" xfId="0" applyNumberFormat="1" applyFont="1" applyFill="1"/>
    <xf numFmtId="0" fontId="9" fillId="3" borderId="0" xfId="0" applyFont="1" applyFill="1"/>
    <xf numFmtId="39" fontId="8" fillId="3" borderId="0" xfId="0" applyNumberFormat="1" applyFont="1" applyFill="1"/>
    <xf numFmtId="0" fontId="8" fillId="3" borderId="0" xfId="0" applyFont="1" applyFill="1"/>
    <xf numFmtId="166" fontId="0" fillId="3" borderId="0" xfId="0" applyNumberFormat="1" applyFill="1"/>
    <xf numFmtId="2" fontId="0" fillId="3" borderId="0" xfId="0" applyNumberFormat="1" applyFill="1"/>
    <xf numFmtId="14" fontId="0" fillId="3" borderId="0" xfId="0" applyNumberFormat="1" applyFill="1"/>
    <xf numFmtId="0" fontId="0" fillId="3" borderId="4" xfId="0" applyFill="1" applyBorder="1"/>
    <xf numFmtId="172" fontId="0" fillId="3" borderId="0" xfId="0" applyNumberFormat="1" applyFont="1" applyFill="1"/>
    <xf numFmtId="172" fontId="0" fillId="3" borderId="0" xfId="0" applyNumberFormat="1" applyFill="1" applyBorder="1"/>
    <xf numFmtId="166" fontId="0" fillId="3" borderId="0" xfId="1" applyNumberFormat="1" applyFont="1" applyFill="1"/>
    <xf numFmtId="172" fontId="0" fillId="3" borderId="0" xfId="24" applyNumberFormat="1" applyFont="1" applyFill="1"/>
    <xf numFmtId="166" fontId="8" fillId="3" borderId="0" xfId="1" applyNumberFormat="1" applyFont="1" applyFill="1"/>
    <xf numFmtId="164" fontId="9" fillId="3" borderId="0" xfId="0" applyNumberFormat="1" applyFont="1" applyFill="1"/>
    <xf numFmtId="172" fontId="9" fillId="3" borderId="0" xfId="0" applyNumberFormat="1" applyFont="1" applyFill="1"/>
    <xf numFmtId="14" fontId="1" fillId="3" borderId="2" xfId="0" applyNumberFormat="1" applyFont="1" applyFill="1" applyBorder="1"/>
    <xf numFmtId="173" fontId="0" fillId="3" borderId="0" xfId="24" applyNumberFormat="1" applyFont="1" applyFill="1"/>
    <xf numFmtId="14" fontId="0" fillId="3" borderId="2" xfId="0" applyNumberFormat="1" applyFont="1" applyFill="1" applyBorder="1"/>
    <xf numFmtId="173" fontId="0" fillId="3" borderId="0" xfId="0" applyNumberFormat="1" applyFill="1"/>
    <xf numFmtId="0" fontId="10" fillId="4" borderId="0" xfId="2" applyFont="1" applyFill="1"/>
    <xf numFmtId="0" fontId="0" fillId="4" borderId="0" xfId="0" applyFill="1"/>
    <xf numFmtId="0" fontId="9" fillId="4" borderId="0" xfId="0" applyFont="1" applyFill="1"/>
    <xf numFmtId="14" fontId="9" fillId="4" borderId="0" xfId="0" applyNumberFormat="1" applyFont="1" applyFill="1"/>
    <xf numFmtId="0" fontId="5" fillId="4" borderId="0" xfId="0" applyFont="1" applyFill="1"/>
    <xf numFmtId="0" fontId="5" fillId="4" borderId="4" xfId="0" applyFont="1" applyFill="1" applyBorder="1"/>
    <xf numFmtId="0" fontId="0" fillId="4" borderId="4" xfId="0" applyFill="1" applyBorder="1"/>
    <xf numFmtId="0" fontId="5" fillId="4" borderId="0" xfId="0" applyFont="1" applyFill="1" applyBorder="1"/>
    <xf numFmtId="0" fontId="0" fillId="4" borderId="0" xfId="0" applyFill="1" applyBorder="1"/>
    <xf numFmtId="0" fontId="0" fillId="4" borderId="0" xfId="0" applyFont="1" applyFill="1"/>
    <xf numFmtId="0" fontId="0" fillId="4" borderId="2" xfId="0" applyFill="1" applyBorder="1"/>
    <xf numFmtId="0" fontId="0" fillId="4" borderId="0" xfId="0" applyFont="1" applyFill="1" applyBorder="1" applyAlignment="1">
      <alignment horizontal="left" indent="1"/>
    </xf>
    <xf numFmtId="0" fontId="0" fillId="4" borderId="0" xfId="0" quotePrefix="1" applyFont="1" applyFill="1" applyBorder="1" applyAlignment="1">
      <alignment horizontal="left" indent="1"/>
    </xf>
    <xf numFmtId="0" fontId="0" fillId="4" borderId="0" xfId="0" applyFont="1" applyFill="1" applyBorder="1"/>
    <xf numFmtId="0" fontId="15" fillId="4" borderId="0" xfId="0" applyFont="1" applyFill="1" applyBorder="1"/>
    <xf numFmtId="14" fontId="0" fillId="4" borderId="4" xfId="0" applyNumberFormat="1" applyFont="1" applyFill="1" applyBorder="1"/>
    <xf numFmtId="14" fontId="1" fillId="4" borderId="4" xfId="0" applyNumberFormat="1" applyFont="1" applyFill="1" applyBorder="1"/>
    <xf numFmtId="14" fontId="0" fillId="4" borderId="2" xfId="0" applyNumberFormat="1" applyFont="1" applyFill="1" applyBorder="1"/>
    <xf numFmtId="14" fontId="1" fillId="4" borderId="2" xfId="0" applyNumberFormat="1" applyFont="1" applyFill="1" applyBorder="1"/>
    <xf numFmtId="14" fontId="1" fillId="4" borderId="0" xfId="0" applyNumberFormat="1" applyFont="1" applyFill="1" applyBorder="1"/>
    <xf numFmtId="170" fontId="15" fillId="4" borderId="4" xfId="0" applyNumberFormat="1" applyFont="1" applyFill="1" applyBorder="1"/>
    <xf numFmtId="0" fontId="15" fillId="4" borderId="0" xfId="0" applyFont="1" applyFill="1" applyBorder="1" applyAlignment="1">
      <alignment horizontal="left"/>
    </xf>
    <xf numFmtId="0" fontId="0" fillId="4" borderId="0" xfId="0" applyFont="1" applyFill="1" applyBorder="1" applyAlignment="1"/>
    <xf numFmtId="0" fontId="5" fillId="4" borderId="0" xfId="0" applyFont="1" applyFill="1" applyBorder="1" applyAlignment="1"/>
    <xf numFmtId="0" fontId="5" fillId="4" borderId="4" xfId="0" applyFont="1" applyFill="1" applyBorder="1" applyAlignment="1"/>
    <xf numFmtId="0" fontId="5" fillId="4" borderId="2" xfId="0" applyFont="1" applyFill="1" applyBorder="1" applyAlignment="1"/>
    <xf numFmtId="170" fontId="5" fillId="3" borderId="4" xfId="0" quotePrefix="1" applyNumberFormat="1" applyFont="1" applyFill="1" applyBorder="1"/>
    <xf numFmtId="14" fontId="0" fillId="3" borderId="0" xfId="0" quotePrefix="1" applyNumberFormat="1" applyFont="1" applyFill="1" applyBorder="1"/>
    <xf numFmtId="0" fontId="5" fillId="3" borderId="0" xfId="0" applyFont="1" applyFill="1"/>
    <xf numFmtId="170" fontId="5" fillId="3" borderId="4" xfId="0" applyNumberFormat="1" applyFont="1" applyFill="1" applyBorder="1"/>
    <xf numFmtId="171" fontId="8" fillId="3" borderId="0" xfId="1" applyNumberFormat="1" applyFont="1" applyFill="1"/>
    <xf numFmtId="14" fontId="0" fillId="3" borderId="0" xfId="0" applyNumberFormat="1" applyFill="1" applyBorder="1"/>
    <xf numFmtId="164" fontId="5" fillId="3" borderId="0" xfId="0" applyNumberFormat="1" applyFont="1" applyFill="1"/>
    <xf numFmtId="164" fontId="0" fillId="3" borderId="0" xfId="0" applyNumberFormat="1" applyFill="1"/>
    <xf numFmtId="3" fontId="9" fillId="3" borderId="0" xfId="0" applyNumberFormat="1" applyFont="1" applyFill="1"/>
    <xf numFmtId="3" fontId="8" fillId="3" borderId="0" xfId="0" applyNumberFormat="1" applyFont="1" applyFill="1"/>
    <xf numFmtId="166" fontId="8" fillId="3" borderId="0" xfId="0" applyNumberFormat="1" applyFont="1" applyFill="1"/>
    <xf numFmtId="2" fontId="9" fillId="3" borderId="0" xfId="0" applyNumberFormat="1" applyFont="1" applyFill="1"/>
    <xf numFmtId="0" fontId="0" fillId="3" borderId="0" xfId="0" applyFill="1" applyBorder="1"/>
    <xf numFmtId="166" fontId="0" fillId="3" borderId="0" xfId="1" applyNumberFormat="1" applyFont="1" applyFill="1" applyBorder="1"/>
    <xf numFmtId="170" fontId="15" fillId="3" borderId="4" xfId="0" applyNumberFormat="1" applyFont="1" applyFill="1" applyBorder="1"/>
    <xf numFmtId="14" fontId="1" fillId="3" borderId="0" xfId="0" applyNumberFormat="1" applyFont="1" applyFill="1" applyBorder="1"/>
    <xf numFmtId="2" fontId="8" fillId="3" borderId="0" xfId="0" applyNumberFormat="1" applyFont="1" applyFill="1"/>
    <xf numFmtId="175" fontId="5" fillId="5" borderId="4" xfId="0" quotePrefix="1" applyNumberFormat="1" applyFont="1" applyFill="1" applyBorder="1"/>
    <xf numFmtId="14" fontId="0" fillId="5" borderId="2" xfId="0" applyNumberFormat="1" applyFill="1" applyBorder="1"/>
    <xf numFmtId="0" fontId="0" fillId="5" borderId="0" xfId="0" applyFill="1"/>
    <xf numFmtId="164" fontId="8" fillId="5" borderId="0" xfId="0" applyNumberFormat="1" applyFont="1" applyFill="1"/>
    <xf numFmtId="172" fontId="0" fillId="5" borderId="0" xfId="0" applyNumberFormat="1" applyFill="1"/>
    <xf numFmtId="172" fontId="5" fillId="5" borderId="0" xfId="0" applyNumberFormat="1" applyFont="1" applyFill="1"/>
    <xf numFmtId="172" fontId="8" fillId="5" borderId="0" xfId="0" applyNumberFormat="1" applyFont="1" applyFill="1"/>
    <xf numFmtId="0" fontId="9" fillId="5" borderId="0" xfId="0" applyFont="1" applyFill="1"/>
    <xf numFmtId="39" fontId="8" fillId="5" borderId="0" xfId="0" applyNumberFormat="1" applyFont="1" applyFill="1"/>
    <xf numFmtId="9" fontId="9" fillId="5" borderId="0" xfId="0" applyNumberFormat="1" applyFont="1" applyFill="1"/>
    <xf numFmtId="0" fontId="5" fillId="5" borderId="4" xfId="0" applyFont="1" applyFill="1" applyBorder="1"/>
    <xf numFmtId="166" fontId="9" fillId="5" borderId="0" xfId="0" applyNumberFormat="1" applyFont="1" applyFill="1"/>
    <xf numFmtId="166" fontId="9" fillId="5" borderId="0" xfId="1" applyNumberFormat="1" applyFont="1" applyFill="1"/>
    <xf numFmtId="166" fontId="0" fillId="5" borderId="0" xfId="0" applyNumberFormat="1" applyFill="1"/>
    <xf numFmtId="37" fontId="0" fillId="5" borderId="0" xfId="0" applyNumberFormat="1" applyFill="1"/>
    <xf numFmtId="2" fontId="0" fillId="5" borderId="0" xfId="0" applyNumberFormat="1" applyFill="1"/>
    <xf numFmtId="4" fontId="0" fillId="5" borderId="0" xfId="0" applyNumberFormat="1" applyFill="1"/>
    <xf numFmtId="175" fontId="5" fillId="5" borderId="4" xfId="0" applyNumberFormat="1" applyFont="1" applyFill="1" applyBorder="1"/>
    <xf numFmtId="14" fontId="0" fillId="5" borderId="0" xfId="0" applyNumberFormat="1" applyFill="1"/>
    <xf numFmtId="0" fontId="0" fillId="5" borderId="4" xfId="0" applyFill="1" applyBorder="1"/>
    <xf numFmtId="172" fontId="0" fillId="5" borderId="0" xfId="0" applyNumberFormat="1" applyFont="1" applyFill="1"/>
    <xf numFmtId="172" fontId="0" fillId="5" borderId="0" xfId="0" applyNumberFormat="1" applyFill="1" applyBorder="1"/>
    <xf numFmtId="166" fontId="0" fillId="5" borderId="0" xfId="1" applyNumberFormat="1" applyFont="1" applyFill="1"/>
    <xf numFmtId="172" fontId="0" fillId="5" borderId="0" xfId="24" applyNumberFormat="1" applyFont="1" applyFill="1"/>
    <xf numFmtId="166" fontId="8" fillId="5" borderId="0" xfId="1" applyNumberFormat="1" applyFont="1" applyFill="1"/>
    <xf numFmtId="164" fontId="9" fillId="5" borderId="0" xfId="0" applyNumberFormat="1" applyFont="1" applyFill="1"/>
    <xf numFmtId="172" fontId="9" fillId="5" borderId="0" xfId="0" applyNumberFormat="1" applyFont="1" applyFill="1"/>
    <xf numFmtId="175" fontId="15" fillId="5" borderId="4" xfId="0" applyNumberFormat="1" applyFont="1" applyFill="1" applyBorder="1"/>
    <xf numFmtId="14" fontId="1" fillId="5" borderId="2" xfId="0" applyNumberFormat="1" applyFont="1" applyFill="1" applyBorder="1"/>
    <xf numFmtId="173" fontId="0" fillId="5" borderId="0" xfId="24" applyNumberFormat="1" applyFont="1" applyFill="1"/>
    <xf numFmtId="14" fontId="0" fillId="5" borderId="2" xfId="0" applyNumberFormat="1" applyFont="1" applyFill="1" applyBorder="1"/>
    <xf numFmtId="39" fontId="0" fillId="5" borderId="0" xfId="0" applyNumberFormat="1" applyFill="1"/>
    <xf numFmtId="173" fontId="0" fillId="5" borderId="0" xfId="0" applyNumberFormat="1" applyFill="1"/>
    <xf numFmtId="0" fontId="10" fillId="4" borderId="0" xfId="2" applyNumberFormat="1" applyFont="1" applyFill="1"/>
    <xf numFmtId="0" fontId="3" fillId="4" borderId="0" xfId="2" applyFill="1"/>
    <xf numFmtId="14" fontId="0" fillId="4" borderId="0" xfId="0" applyNumberFormat="1" applyFont="1" applyFill="1"/>
    <xf numFmtId="0" fontId="0" fillId="4" borderId="4" xfId="0" applyFont="1" applyFill="1" applyBorder="1"/>
    <xf numFmtId="0" fontId="4" fillId="4" borderId="0" xfId="3" applyFill="1" applyBorder="1"/>
    <xf numFmtId="0" fontId="11" fillId="4" borderId="0" xfId="3" applyFont="1" applyFill="1" applyBorder="1"/>
    <xf numFmtId="164" fontId="12" fillId="3" borderId="0" xfId="0" applyNumberFormat="1" applyFont="1" applyFill="1"/>
    <xf numFmtId="166" fontId="12" fillId="3" borderId="0" xfId="1" applyNumberFormat="1" applyFont="1" applyFill="1"/>
    <xf numFmtId="2" fontId="12" fillId="3" borderId="0" xfId="0" applyNumberFormat="1" applyFont="1" applyFill="1"/>
    <xf numFmtId="164" fontId="12" fillId="3" borderId="0" xfId="1" applyNumberFormat="1" applyFont="1" applyFill="1"/>
    <xf numFmtId="2" fontId="8" fillId="3" borderId="0" xfId="1" applyNumberFormat="1" applyFont="1" applyFill="1"/>
    <xf numFmtId="164" fontId="8" fillId="3" borderId="0" xfId="1" applyNumberFormat="1" applyFont="1" applyFill="1"/>
    <xf numFmtId="0" fontId="0" fillId="5" borderId="0" xfId="0" applyFill="1" applyBorder="1"/>
    <xf numFmtId="164" fontId="12" fillId="5" borderId="0" xfId="0" applyNumberFormat="1" applyFont="1" applyFill="1"/>
    <xf numFmtId="166" fontId="12" fillId="5" borderId="0" xfId="1" applyNumberFormat="1" applyFont="1" applyFill="1"/>
    <xf numFmtId="2" fontId="12" fillId="5" borderId="0" xfId="0" applyNumberFormat="1" applyFont="1" applyFill="1"/>
    <xf numFmtId="164" fontId="12" fillId="5" borderId="0" xfId="1" applyNumberFormat="1" applyFont="1" applyFill="1"/>
    <xf numFmtId="2" fontId="8" fillId="5" borderId="0" xfId="1" applyNumberFormat="1" applyFont="1" applyFill="1"/>
    <xf numFmtId="164" fontId="8" fillId="5" borderId="0" xfId="1" applyNumberFormat="1" applyFont="1" applyFill="1"/>
    <xf numFmtId="0" fontId="5" fillId="6" borderId="3" xfId="0" applyFont="1" applyFill="1" applyBorder="1"/>
    <xf numFmtId="0" fontId="0" fillId="6" borderId="0" xfId="0" applyFill="1"/>
    <xf numFmtId="164" fontId="0" fillId="6" borderId="3" xfId="0" applyNumberFormat="1" applyFill="1" applyBorder="1"/>
    <xf numFmtId="164" fontId="12" fillId="6" borderId="0" xfId="0" applyNumberFormat="1" applyFont="1" applyFill="1"/>
    <xf numFmtId="164" fontId="0" fillId="6" borderId="0" xfId="0" applyNumberFormat="1" applyFill="1"/>
    <xf numFmtId="166" fontId="0" fillId="6" borderId="3" xfId="1" applyNumberFormat="1" applyFont="1" applyFill="1" applyBorder="1"/>
    <xf numFmtId="166" fontId="0" fillId="6" borderId="0" xfId="1" applyNumberFormat="1" applyFont="1" applyFill="1"/>
    <xf numFmtId="164" fontId="8" fillId="6" borderId="3" xfId="0" applyNumberFormat="1" applyFont="1" applyFill="1" applyBorder="1"/>
    <xf numFmtId="164" fontId="0" fillId="6" borderId="3" xfId="1" applyNumberFormat="1" applyFont="1" applyFill="1" applyBorder="1"/>
    <xf numFmtId="164" fontId="0" fillId="6" borderId="0" xfId="1" applyNumberFormat="1" applyFont="1" applyFill="1"/>
    <xf numFmtId="0" fontId="5" fillId="6" borderId="0" xfId="0" applyFont="1" applyFill="1" applyBorder="1"/>
    <xf numFmtId="168" fontId="0" fillId="4" borderId="0" xfId="0" applyNumberFormat="1" applyFill="1"/>
    <xf numFmtId="0" fontId="5" fillId="4" borderId="2" xfId="0" applyFont="1" applyFill="1" applyBorder="1"/>
    <xf numFmtId="172" fontId="14" fillId="5" borderId="0" xfId="0" applyNumberFormat="1" applyFont="1" applyFill="1"/>
    <xf numFmtId="172" fontId="0" fillId="0" borderId="0" xfId="0" applyNumberFormat="1"/>
    <xf numFmtId="172" fontId="5" fillId="3" borderId="0" xfId="0" applyNumberFormat="1" applyFont="1" applyFill="1" applyBorder="1"/>
    <xf numFmtId="172" fontId="5" fillId="5" borderId="0" xfId="0" applyNumberFormat="1" applyFont="1" applyFill="1" applyBorder="1"/>
    <xf numFmtId="0" fontId="0" fillId="4" borderId="2" xfId="0" applyFont="1" applyFill="1" applyBorder="1"/>
    <xf numFmtId="172" fontId="0" fillId="0" borderId="0" xfId="0" applyNumberFormat="1" applyFill="1"/>
    <xf numFmtId="172" fontId="5" fillId="0" borderId="0" xfId="0" applyNumberFormat="1" applyFont="1" applyFill="1"/>
    <xf numFmtId="166" fontId="16" fillId="3" borderId="0" xfId="1" applyNumberFormat="1" applyFont="1" applyFill="1"/>
    <xf numFmtId="171" fontId="12" fillId="3" borderId="0" xfId="1" applyNumberFormat="1" applyFont="1" applyFill="1"/>
    <xf numFmtId="0" fontId="12" fillId="3" borderId="0" xfId="0" applyFont="1" applyFill="1"/>
    <xf numFmtId="0" fontId="12" fillId="3" borderId="4" xfId="0" applyFont="1" applyFill="1" applyBorder="1"/>
    <xf numFmtId="14" fontId="8" fillId="3" borderId="0" xfId="0" applyNumberFormat="1" applyFont="1" applyFill="1"/>
    <xf numFmtId="170" fontId="14" fillId="3" borderId="4" xfId="0" applyNumberFormat="1" applyFont="1" applyFill="1" applyBorder="1"/>
    <xf numFmtId="0" fontId="18" fillId="4" borderId="0" xfId="0" applyFont="1" applyFill="1"/>
    <xf numFmtId="166" fontId="9" fillId="0" borderId="0" xfId="0" applyNumberFormat="1" applyFont="1" applyFill="1"/>
    <xf numFmtId="3" fontId="17" fillId="5" borderId="0" xfId="0" applyNumberFormat="1" applyFont="1" applyFill="1"/>
    <xf numFmtId="166" fontId="12" fillId="5" borderId="0" xfId="0" applyNumberFormat="1" applyFont="1" applyFill="1"/>
    <xf numFmtId="171" fontId="9" fillId="5" borderId="0" xfId="0" applyNumberFormat="1" applyFont="1" applyFill="1"/>
    <xf numFmtId="171" fontId="0" fillId="3" borderId="0" xfId="0" applyNumberFormat="1" applyFill="1"/>
    <xf numFmtId="171" fontId="12" fillId="3" borderId="0" xfId="0" applyNumberFormat="1" applyFont="1" applyFill="1"/>
    <xf numFmtId="9" fontId="12" fillId="5" borderId="0" xfId="0" applyNumberFormat="1" applyFont="1" applyFill="1"/>
    <xf numFmtId="172" fontId="12" fillId="3" borderId="0" xfId="0" applyNumberFormat="1" applyFont="1" applyFill="1"/>
    <xf numFmtId="172" fontId="17" fillId="5" borderId="0" xfId="0" applyNumberFormat="1" applyFont="1" applyFill="1"/>
    <xf numFmtId="174" fontId="12" fillId="5" borderId="0" xfId="0" applyNumberFormat="1" applyFont="1" applyFill="1"/>
    <xf numFmtId="172" fontId="12" fillId="5" borderId="0" xfId="0" applyNumberFormat="1" applyFont="1" applyFill="1"/>
    <xf numFmtId="166" fontId="12" fillId="3" borderId="0" xfId="0" applyNumberFormat="1" applyFont="1" applyFill="1"/>
    <xf numFmtId="10" fontId="9" fillId="5" borderId="0" xfId="0" applyNumberFormat="1" applyFont="1" applyFill="1"/>
    <xf numFmtId="172" fontId="12" fillId="5" borderId="0" xfId="24" applyNumberFormat="1" applyFont="1" applyFill="1"/>
    <xf numFmtId="164" fontId="0" fillId="5" borderId="0" xfId="0" applyNumberFormat="1" applyFill="1"/>
    <xf numFmtId="0" fontId="12" fillId="5" borderId="0" xfId="0" applyFont="1" applyFill="1"/>
    <xf numFmtId="0" fontId="5" fillId="4" borderId="6" xfId="0" applyFont="1" applyFill="1" applyBorder="1"/>
    <xf numFmtId="0" fontId="0" fillId="5" borderId="7" xfId="0" applyFill="1" applyBorder="1"/>
    <xf numFmtId="0" fontId="0" fillId="4" borderId="8" xfId="0" applyFill="1" applyBorder="1"/>
    <xf numFmtId="0" fontId="0" fillId="5" borderId="9" xfId="0" applyFill="1" applyBorder="1"/>
    <xf numFmtId="10" fontId="12" fillId="3" borderId="0" xfId="1" applyNumberFormat="1" applyFont="1" applyFill="1" applyBorder="1"/>
    <xf numFmtId="10" fontId="0" fillId="5" borderId="0" xfId="1" applyNumberFormat="1" applyFont="1" applyFill="1" applyBorder="1"/>
    <xf numFmtId="9" fontId="0" fillId="5" borderId="0" xfId="0" applyNumberFormat="1" applyFill="1" applyBorder="1"/>
    <xf numFmtId="9" fontId="0" fillId="5" borderId="9" xfId="0" applyNumberFormat="1" applyFill="1" applyBorder="1"/>
    <xf numFmtId="10" fontId="0" fillId="5" borderId="0" xfId="0" applyNumberFormat="1" applyFill="1" applyBorder="1"/>
    <xf numFmtId="10" fontId="0" fillId="5" borderId="9" xfId="0" applyNumberFormat="1" applyFill="1" applyBorder="1"/>
    <xf numFmtId="0" fontId="0" fillId="4" borderId="10" xfId="0" applyFill="1" applyBorder="1"/>
    <xf numFmtId="0" fontId="0" fillId="3" borderId="2" xfId="0" applyFill="1" applyBorder="1"/>
    <xf numFmtId="0" fontId="0" fillId="5" borderId="2" xfId="0" applyFill="1" applyBorder="1"/>
    <xf numFmtId="0" fontId="0" fillId="5" borderId="11" xfId="0" applyFill="1" applyBorder="1"/>
    <xf numFmtId="164" fontId="5" fillId="5" borderId="0" xfId="0" applyNumberFormat="1" applyFont="1" applyFill="1"/>
    <xf numFmtId="166" fontId="8" fillId="0" borderId="0" xfId="0" applyNumberFormat="1" applyFont="1" applyFill="1" applyBorder="1" applyAlignment="1"/>
    <xf numFmtId="0" fontId="0" fillId="0" borderId="0" xfId="0" applyFill="1"/>
    <xf numFmtId="171" fontId="12" fillId="5" borderId="0" xfId="0" applyNumberFormat="1" applyFont="1" applyFill="1"/>
    <xf numFmtId="166" fontId="5" fillId="0" borderId="0" xfId="1" applyNumberFormat="1" applyFont="1" applyBorder="1"/>
    <xf numFmtId="10" fontId="0" fillId="0" borderId="0" xfId="0" applyNumberFormat="1"/>
    <xf numFmtId="0" fontId="12" fillId="4" borderId="0" xfId="0" applyFont="1" applyFill="1"/>
    <xf numFmtId="14" fontId="12" fillId="4" borderId="0" xfId="0" applyNumberFormat="1" applyFont="1" applyFill="1"/>
    <xf numFmtId="14" fontId="0" fillId="3" borderId="2" xfId="0" quotePrefix="1" applyNumberFormat="1" applyFont="1" applyFill="1" applyBorder="1"/>
    <xf numFmtId="172" fontId="5" fillId="0" borderId="0" xfId="0" applyNumberFormat="1" applyFont="1"/>
    <xf numFmtId="10" fontId="0" fillId="3" borderId="0" xfId="0" applyNumberFormat="1" applyFill="1"/>
    <xf numFmtId="10" fontId="0" fillId="5" borderId="0" xfId="0" applyNumberFormat="1" applyFill="1"/>
    <xf numFmtId="0" fontId="5" fillId="0" borderId="0" xfId="0" applyFont="1" applyAlignment="1">
      <alignment horizontal="center" wrapText="1"/>
    </xf>
    <xf numFmtId="176" fontId="5" fillId="0" borderId="0" xfId="0" applyNumberFormat="1" applyFont="1"/>
    <xf numFmtId="10" fontId="5" fillId="0" borderId="0" xfId="0" applyNumberFormat="1" applyFont="1"/>
    <xf numFmtId="166" fontId="9" fillId="3" borderId="0" xfId="1" applyNumberFormat="1" applyFont="1" applyFill="1"/>
    <xf numFmtId="10" fontId="9" fillId="0" borderId="0" xfId="0" applyNumberFormat="1" applyFont="1"/>
    <xf numFmtId="9" fontId="9" fillId="0" borderId="0" xfId="0" applyNumberFormat="1" applyFont="1"/>
    <xf numFmtId="0" fontId="9" fillId="0" borderId="0" xfId="0" applyFont="1"/>
    <xf numFmtId="10" fontId="0" fillId="0" borderId="0" xfId="1" applyNumberFormat="1" applyFont="1"/>
    <xf numFmtId="9" fontId="0" fillId="0" borderId="0" xfId="0" applyNumberFormat="1"/>
    <xf numFmtId="166" fontId="0" fillId="0" borderId="0" xfId="0" applyNumberFormat="1"/>
    <xf numFmtId="43" fontId="0" fillId="0" borderId="0" xfId="24" applyFont="1"/>
    <xf numFmtId="166" fontId="17" fillId="5" borderId="0" xfId="1" applyNumberFormat="1" applyFont="1" applyFill="1"/>
    <xf numFmtId="166" fontId="9" fillId="3" borderId="0" xfId="0" applyNumberFormat="1" applyFont="1" applyFill="1"/>
    <xf numFmtId="166" fontId="5" fillId="3" borderId="0" xfId="1" applyNumberFormat="1" applyFont="1" applyFill="1"/>
    <xf numFmtId="168" fontId="0" fillId="3" borderId="0" xfId="0" applyNumberFormat="1" applyFill="1"/>
    <xf numFmtId="166" fontId="17" fillId="3" borderId="0" xfId="0" applyNumberFormat="1" applyFont="1" applyFill="1"/>
    <xf numFmtId="177" fontId="0" fillId="5" borderId="0" xfId="0" applyNumberFormat="1" applyFill="1"/>
    <xf numFmtId="8" fontId="0" fillId="3" borderId="0" xfId="0" applyNumberFormat="1" applyFill="1"/>
    <xf numFmtId="0" fontId="0" fillId="4" borderId="19" xfId="0" applyFont="1" applyFill="1" applyBorder="1"/>
    <xf numFmtId="179" fontId="5" fillId="3" borderId="19" xfId="0" applyNumberFormat="1" applyFont="1" applyFill="1" applyBorder="1"/>
    <xf numFmtId="178" fontId="0" fillId="5" borderId="19" xfId="0" applyNumberFormat="1" applyFont="1" applyFill="1" applyBorder="1"/>
    <xf numFmtId="166" fontId="5" fillId="5" borderId="0" xfId="1" applyNumberFormat="1" applyFont="1" applyFill="1"/>
    <xf numFmtId="9" fontId="5" fillId="0" borderId="0" xfId="0" applyNumberFormat="1" applyFont="1"/>
    <xf numFmtId="39" fontId="0" fillId="0" borderId="0" xfId="0" applyNumberFormat="1"/>
    <xf numFmtId="0" fontId="22" fillId="0" borderId="0" xfId="0" applyFont="1"/>
    <xf numFmtId="39" fontId="5" fillId="0" borderId="0" xfId="0" applyNumberFormat="1" applyFont="1"/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0" fontId="5" fillId="0" borderId="0" xfId="0" applyFont="1" applyAlignment="1">
      <alignment horizontal="center"/>
    </xf>
    <xf numFmtId="172" fontId="5" fillId="0" borderId="0" xfId="1" applyNumberFormat="1" applyFont="1" applyBorder="1"/>
    <xf numFmtId="1" fontId="5" fillId="0" borderId="0" xfId="1" applyNumberFormat="1" applyFont="1" applyBorder="1"/>
    <xf numFmtId="0" fontId="0" fillId="7" borderId="0" xfId="0" applyFill="1"/>
    <xf numFmtId="0" fontId="0" fillId="7" borderId="0" xfId="0" applyFill="1" applyAlignment="1"/>
    <xf numFmtId="166" fontId="0" fillId="7" borderId="0" xfId="0" applyNumberFormat="1" applyFill="1"/>
    <xf numFmtId="172" fontId="0" fillId="7" borderId="0" xfId="0" applyNumberFormat="1" applyFill="1"/>
    <xf numFmtId="172" fontId="0" fillId="7" borderId="0" xfId="1" applyNumberFormat="1" applyFont="1" applyFill="1"/>
    <xf numFmtId="0" fontId="0" fillId="3" borderId="0" xfId="0" applyFill="1" applyAlignment="1"/>
    <xf numFmtId="37" fontId="0" fillId="3" borderId="0" xfId="0" applyNumberFormat="1" applyFill="1"/>
    <xf numFmtId="0" fontId="0" fillId="3" borderId="0" xfId="0" applyFont="1" applyFill="1" applyAlignment="1">
      <alignment horizontal="left"/>
    </xf>
    <xf numFmtId="0" fontId="5" fillId="0" borderId="0" xfId="0" applyFont="1" applyAlignment="1">
      <alignment horizontal="centerContinuous" wrapText="1"/>
    </xf>
    <xf numFmtId="0" fontId="0" fillId="0" borderId="0" xfId="0" applyAlignment="1">
      <alignment horizontal="centerContinuous"/>
    </xf>
    <xf numFmtId="0" fontId="21" fillId="0" borderId="0" xfId="0" applyFont="1"/>
    <xf numFmtId="0" fontId="23" fillId="4" borderId="0" xfId="0" applyFont="1" applyFill="1"/>
    <xf numFmtId="14" fontId="23" fillId="4" borderId="0" xfId="0" applyNumberFormat="1" applyFont="1" applyFill="1"/>
    <xf numFmtId="0" fontId="24" fillId="4" borderId="0" xfId="0" applyFont="1" applyFill="1"/>
    <xf numFmtId="0" fontId="0" fillId="8" borderId="0" xfId="0" applyFill="1"/>
    <xf numFmtId="0" fontId="5" fillId="6" borderId="0" xfId="0" applyFont="1" applyFill="1"/>
    <xf numFmtId="179" fontId="5" fillId="5" borderId="4" xfId="0" quotePrefix="1" applyNumberFormat="1" applyFont="1" applyFill="1" applyBorder="1"/>
    <xf numFmtId="0" fontId="3" fillId="8" borderId="0" xfId="2" applyFill="1"/>
    <xf numFmtId="0" fontId="5" fillId="8" borderId="12" xfId="0" applyFont="1" applyFill="1" applyBorder="1"/>
    <xf numFmtId="0" fontId="5" fillId="8" borderId="13" xfId="0" applyFont="1" applyFill="1" applyBorder="1"/>
    <xf numFmtId="0" fontId="0" fillId="8" borderId="14" xfId="0" applyFill="1" applyBorder="1"/>
    <xf numFmtId="0" fontId="0" fillId="8" borderId="13" xfId="0" applyFill="1" applyBorder="1"/>
    <xf numFmtId="0" fontId="0" fillId="8" borderId="20" xfId="0" applyFill="1" applyBorder="1"/>
    <xf numFmtId="0" fontId="5" fillId="8" borderId="3" xfId="0" applyFont="1" applyFill="1" applyBorder="1"/>
    <xf numFmtId="0" fontId="5" fillId="8" borderId="0" xfId="0" applyFont="1" applyFill="1" applyBorder="1"/>
    <xf numFmtId="0" fontId="0" fillId="8" borderId="15" xfId="0" applyFill="1" applyBorder="1"/>
    <xf numFmtId="0" fontId="0" fillId="8" borderId="0" xfId="0" applyFill="1" applyBorder="1"/>
    <xf numFmtId="0" fontId="0" fillId="8" borderId="3" xfId="0" applyFill="1" applyBorder="1"/>
    <xf numFmtId="166" fontId="0" fillId="8" borderId="0" xfId="1" applyNumberFormat="1" applyFont="1" applyFill="1" applyBorder="1"/>
    <xf numFmtId="168" fontId="0" fillId="8" borderId="15" xfId="0" applyNumberFormat="1" applyFill="1" applyBorder="1"/>
    <xf numFmtId="172" fontId="5" fillId="8" borderId="15" xfId="0" applyNumberFormat="1" applyFont="1" applyFill="1" applyBorder="1"/>
    <xf numFmtId="172" fontId="0" fillId="8" borderId="15" xfId="0" applyNumberFormat="1" applyFill="1" applyBorder="1"/>
    <xf numFmtId="166" fontId="5" fillId="8" borderId="0" xfId="1" applyNumberFormat="1" applyFont="1" applyFill="1" applyBorder="1"/>
    <xf numFmtId="0" fontId="5" fillId="8" borderId="16" xfId="0" applyFont="1" applyFill="1" applyBorder="1"/>
    <xf numFmtId="0" fontId="0" fillId="8" borderId="17" xfId="0" applyFill="1" applyBorder="1"/>
    <xf numFmtId="39" fontId="5" fillId="8" borderId="18" xfId="0" applyNumberFormat="1" applyFont="1" applyFill="1" applyBorder="1"/>
    <xf numFmtId="0" fontId="0" fillId="8" borderId="3" xfId="0" applyFont="1" applyFill="1" applyBorder="1"/>
    <xf numFmtId="0" fontId="0" fillId="8" borderId="16" xfId="0" applyFont="1" applyFill="1" applyBorder="1"/>
    <xf numFmtId="166" fontId="0" fillId="8" borderId="17" xfId="1" applyNumberFormat="1" applyFont="1" applyFill="1" applyBorder="1"/>
    <xf numFmtId="172" fontId="0" fillId="8" borderId="0" xfId="0" applyNumberFormat="1" applyFill="1" applyBorder="1"/>
    <xf numFmtId="2" fontId="0" fillId="8" borderId="0" xfId="0" applyNumberFormat="1" applyFill="1" applyBorder="1"/>
    <xf numFmtId="0" fontId="8" fillId="8" borderId="3" xfId="0" applyFont="1" applyFill="1" applyBorder="1" applyAlignment="1"/>
    <xf numFmtId="166" fontId="8" fillId="8" borderId="0" xfId="0" applyNumberFormat="1" applyFont="1" applyFill="1" applyBorder="1" applyAlignment="1"/>
    <xf numFmtId="0" fontId="0" fillId="8" borderId="16" xfId="0" applyFill="1" applyBorder="1"/>
    <xf numFmtId="0" fontId="0" fillId="8" borderId="18" xfId="0" applyFill="1" applyBorder="1"/>
    <xf numFmtId="166" fontId="21" fillId="2" borderId="0" xfId="0" applyNumberFormat="1" applyFont="1" applyFill="1"/>
    <xf numFmtId="0" fontId="23" fillId="2" borderId="0" xfId="0" applyFont="1" applyFill="1"/>
    <xf numFmtId="172" fontId="23" fillId="2" borderId="0" xfId="0" applyNumberFormat="1" applyFont="1" applyFill="1"/>
    <xf numFmtId="166" fontId="23" fillId="2" borderId="0" xfId="1" applyNumberFormat="1" applyFont="1" applyFill="1"/>
    <xf numFmtId="172" fontId="0" fillId="2" borderId="0" xfId="0" applyNumberFormat="1" applyFill="1"/>
    <xf numFmtId="172" fontId="5" fillId="2" borderId="0" xfId="0" applyNumberFormat="1" applyFont="1" applyFill="1"/>
    <xf numFmtId="166" fontId="2" fillId="2" borderId="0" xfId="1" applyNumberFormat="1" applyFont="1" applyFill="1"/>
    <xf numFmtId="172" fontId="0" fillId="2" borderId="0" xfId="0" applyNumberFormat="1" applyFont="1" applyFill="1"/>
    <xf numFmtId="166" fontId="0" fillId="2" borderId="0" xfId="1" applyNumberFormat="1" applyFont="1" applyFill="1"/>
    <xf numFmtId="2" fontId="0" fillId="2" borderId="0" xfId="0" applyNumberFormat="1" applyFill="1"/>
    <xf numFmtId="166" fontId="17" fillId="2" borderId="0" xfId="0" applyNumberFormat="1" applyFont="1" applyFill="1"/>
    <xf numFmtId="177" fontId="0" fillId="2" borderId="0" xfId="0" applyNumberFormat="1" applyFill="1"/>
    <xf numFmtId="10" fontId="12" fillId="3" borderId="0" xfId="0" applyNumberFormat="1" applyFont="1" applyFill="1"/>
    <xf numFmtId="0" fontId="5" fillId="2" borderId="0" xfId="0" applyFont="1" applyFill="1"/>
    <xf numFmtId="44" fontId="5" fillId="2" borderId="0" xfId="25" applyFont="1" applyFill="1"/>
    <xf numFmtId="14" fontId="5" fillId="3" borderId="2" xfId="0" applyNumberFormat="1" applyFont="1" applyFill="1" applyBorder="1"/>
    <xf numFmtId="164" fontId="12" fillId="2" borderId="0" xfId="0" applyNumberFormat="1" applyFont="1" applyFill="1"/>
    <xf numFmtId="0" fontId="12" fillId="2" borderId="0" xfId="0" applyFont="1" applyFill="1"/>
    <xf numFmtId="164" fontId="17" fillId="2" borderId="0" xfId="0" applyNumberFormat="1" applyFont="1" applyFill="1"/>
    <xf numFmtId="2" fontId="17" fillId="2" borderId="0" xfId="0" applyNumberFormat="1" applyFont="1" applyFill="1"/>
    <xf numFmtId="166" fontId="5" fillId="2" borderId="0" xfId="1" applyNumberFormat="1" applyFont="1" applyFill="1"/>
    <xf numFmtId="174" fontId="12" fillId="2" borderId="0" xfId="0" applyNumberFormat="1" applyFont="1" applyFill="1"/>
    <xf numFmtId="174" fontId="5" fillId="2" borderId="0" xfId="0" applyNumberFormat="1" applyFont="1" applyFill="1"/>
    <xf numFmtId="174" fontId="0" fillId="2" borderId="0" xfId="0" applyNumberFormat="1" applyFill="1"/>
    <xf numFmtId="166" fontId="5" fillId="0" borderId="0" xfId="0" applyNumberFormat="1" applyFont="1"/>
    <xf numFmtId="166" fontId="24" fillId="7" borderId="0" xfId="0" applyNumberFormat="1" applyFont="1" applyFill="1"/>
    <xf numFmtId="172" fontId="24" fillId="7" borderId="0" xfId="0" applyNumberFormat="1" applyFont="1" applyFill="1"/>
    <xf numFmtId="9" fontId="24" fillId="0" borderId="0" xfId="0" applyNumberFormat="1" applyFont="1"/>
    <xf numFmtId="164" fontId="0" fillId="7" borderId="0" xfId="0" applyNumberFormat="1" applyFill="1"/>
    <xf numFmtId="164" fontId="24" fillId="7" borderId="0" xfId="0" applyNumberFormat="1" applyFont="1" applyFill="1"/>
    <xf numFmtId="1" fontId="5" fillId="9" borderId="0" xfId="1" applyNumberFormat="1" applyFont="1" applyFill="1" applyBorder="1"/>
    <xf numFmtId="166" fontId="5" fillId="9" borderId="0" xfId="1" applyNumberFormat="1" applyFont="1" applyFill="1" applyBorder="1"/>
    <xf numFmtId="172" fontId="5" fillId="9" borderId="0" xfId="1" applyNumberFormat="1" applyFont="1" applyFill="1" applyBorder="1"/>
    <xf numFmtId="166" fontId="8" fillId="8" borderId="0" xfId="0" applyNumberFormat="1" applyFont="1" applyFill="1" applyBorder="1"/>
    <xf numFmtId="10" fontId="8" fillId="8" borderId="17" xfId="0" applyNumberFormat="1" applyFont="1" applyFill="1" applyBorder="1"/>
    <xf numFmtId="167" fontId="0" fillId="0" borderId="0" xfId="0" applyNumberFormat="1" applyFill="1"/>
  </cellXfs>
  <cellStyles count="26">
    <cellStyle name="Comma" xfId="24" builtinId="3"/>
    <cellStyle name="Currency" xfId="25" builtinId="4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Heading 2" xfId="3" builtinId="17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Normal" xfId="0" builtinId="0"/>
    <cellStyle name="Percent" xfId="1" builtinId="5"/>
    <cellStyle name="Title" xfId="2" builtinId="15"/>
  </cellStyles>
  <dxfs count="3">
    <dxf>
      <fill>
        <patternFill>
          <bgColor rgb="FFFFC000"/>
        </patternFill>
      </fill>
    </dxf>
    <dxf>
      <font>
        <b/>
        <i val="0"/>
      </font>
      <numFmt numFmtId="178" formatCode="#&quot;P&quot;"/>
    </dxf>
    <dxf>
      <font>
        <b/>
        <i val="0"/>
      </font>
      <numFmt numFmtId="179" formatCode="#&quot;A&quot;"/>
    </dxf>
  </dxfs>
  <tableStyles count="1" defaultTableStyle="TableStyleMedium9" defaultPivotStyle="PivotStyleMedium4">
    <tableStyle name="Invisible" pivot="0" table="0" count="0" xr9:uid="{55B6EA4F-A1F3-4966-85A3-5259C751CF06}"/>
  </tableStyles>
  <colors>
    <mruColors>
      <color rgb="FF0000FE"/>
      <color rgb="FF16035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016606097314759"/>
          <c:y val="5.8680765865805236E-2"/>
          <c:w val="0.70803721650178342"/>
          <c:h val="0.6346338919173565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'FCFF-Valuation'!$B$49</c:f>
              <c:strCache>
                <c:ptCount val="1"/>
                <c:pt idx="0">
                  <c:v>NOPLAT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'FCFF-Valuation'!$D$16:$I$16</c:f>
              <c:numCache>
                <c:formatCode>0"P"</c:formatCode>
                <c:ptCount val="6"/>
                <c:pt idx="0" formatCode="0&quot;A&quot;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</c:numCache>
            </c:numRef>
          </c:cat>
          <c:val>
            <c:numRef>
              <c:f>'FCFF-Valuation'!$D$49:$I$49</c:f>
              <c:numCache>
                <c:formatCode>#,##0.0_);\(#,##0.0\)</c:formatCode>
                <c:ptCount val="6"/>
                <c:pt idx="0">
                  <c:v>129.84191729323302</c:v>
                </c:pt>
                <c:pt idx="1">
                  <c:v>113.94347999999999</c:v>
                </c:pt>
                <c:pt idx="2">
                  <c:v>150.42214079999999</c:v>
                </c:pt>
                <c:pt idx="3">
                  <c:v>154.13380876799999</c:v>
                </c:pt>
                <c:pt idx="4">
                  <c:v>157.94881681248003</c:v>
                </c:pt>
                <c:pt idx="5">
                  <c:v>161.87018503610884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30-418F-81F8-401952E68364}"/>
            </c:ext>
          </c:extLst>
        </c:ser>
        <c:ser>
          <c:idx val="1"/>
          <c:order val="1"/>
          <c:tx>
            <c:strRef>
              <c:f>'FCFF-Valuation'!$B$84</c:f>
              <c:strCache>
                <c:ptCount val="1"/>
                <c:pt idx="0">
                  <c:v>FCFF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'FCFF-Valuation'!$D$16:$I$16</c:f>
              <c:numCache>
                <c:formatCode>0"P"</c:formatCode>
                <c:ptCount val="6"/>
                <c:pt idx="0" formatCode="0&quot;A&quot;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</c:numCache>
            </c:numRef>
          </c:cat>
          <c:val>
            <c:numRef>
              <c:f>'FCFF-Valuation'!$D$84:$I$84</c:f>
              <c:numCache>
                <c:formatCode>#,##0.0_);\(#,##0.0\)</c:formatCode>
                <c:ptCount val="6"/>
                <c:pt idx="1">
                  <c:v>-85.813721937855007</c:v>
                </c:pt>
                <c:pt idx="2">
                  <c:v>111.62318537166708</c:v>
                </c:pt>
                <c:pt idx="3">
                  <c:v>114.38404341811527</c:v>
                </c:pt>
                <c:pt idx="4">
                  <c:v>117.21421146838475</c:v>
                </c:pt>
                <c:pt idx="5">
                  <c:v>116.90624474830082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30-418F-81F8-401952E683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97637104"/>
        <c:axId val="397638280"/>
      </c:barChart>
      <c:catAx>
        <c:axId val="397637104"/>
        <c:scaling>
          <c:orientation val="minMax"/>
        </c:scaling>
        <c:delete val="0"/>
        <c:axPos val="b"/>
        <c:numFmt formatCode="0&quot;A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7638280"/>
        <c:crosses val="autoZero"/>
        <c:auto val="1"/>
        <c:lblAlgn val="ctr"/>
        <c:lblOffset val="100"/>
        <c:noMultiLvlLbl val="0"/>
      </c:catAx>
      <c:valAx>
        <c:axId val="39763828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$, millions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_);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7637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'FCFF-Valuation'!$B$63</c:f>
              <c:strCache>
                <c:ptCount val="1"/>
                <c:pt idx="0">
                  <c:v>   Reinvestment Rate (K)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'FCFF-Valuation'!$D$41:$I$41</c:f>
              <c:numCache>
                <c:formatCode>0"P"</c:formatCode>
                <c:ptCount val="6"/>
                <c:pt idx="0" formatCode="#&quot;A&quot;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</c:numCache>
            </c:numRef>
          </c:cat>
          <c:val>
            <c:numRef>
              <c:f>'FCFF-Valuation'!$D$63:$I$63</c:f>
              <c:numCache>
                <c:formatCode>0.0%</c:formatCode>
                <c:ptCount val="6"/>
                <c:pt idx="0">
                  <c:v>0.61074267581022779</c:v>
                </c:pt>
                <c:pt idx="1">
                  <c:v>1.7531253384384524</c:v>
                </c:pt>
                <c:pt idx="2">
                  <c:v>0.25793380696475843</c:v>
                </c:pt>
                <c:pt idx="3">
                  <c:v>0.25789128074889467</c:v>
                </c:pt>
                <c:pt idx="4">
                  <c:v>0.25789750228047736</c:v>
                </c:pt>
                <c:pt idx="5">
                  <c:v>0.27777777777777779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A9-4DBE-825C-9B739662A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7637888"/>
        <c:axId val="405259696"/>
      </c:lineChart>
      <c:lineChart>
        <c:grouping val="standard"/>
        <c:varyColors val="0"/>
        <c:ser>
          <c:idx val="1"/>
          <c:order val="1"/>
          <c:tx>
            <c:strRef>
              <c:f>'FCFF-Valuation'!$B$64</c:f>
              <c:strCache>
                <c:ptCount val="1"/>
                <c:pt idx="0">
                  <c:v>   Return on Invested Capital 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'FCFF-Valuation'!$D$16:$I$16</c:f>
              <c:numCache>
                <c:formatCode>0"P"</c:formatCode>
                <c:ptCount val="6"/>
                <c:pt idx="0" formatCode="0&quot;A&quot;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</c:numCache>
            </c:numRef>
          </c:cat>
          <c:val>
            <c:numRef>
              <c:f>'FCFF-Valuation'!$D$64:$I$64</c:f>
              <c:numCache>
                <c:formatCode>0.0%</c:formatCode>
                <c:ptCount val="6"/>
                <c:pt idx="1">
                  <c:v>8.4956367432150307E-2</c:v>
                </c:pt>
                <c:pt idx="2">
                  <c:v>9.7616040608288296E-2</c:v>
                </c:pt>
                <c:pt idx="3">
                  <c:v>9.756810128531232E-2</c:v>
                </c:pt>
                <c:pt idx="4">
                  <c:v>9.752901461921433E-2</c:v>
                </c:pt>
                <c:pt idx="5">
                  <c:v>9.7498032544259511E-2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A9-4DBE-825C-9B739662A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260088"/>
        <c:axId val="405256952"/>
      </c:lineChart>
      <c:catAx>
        <c:axId val="397637888"/>
        <c:scaling>
          <c:orientation val="minMax"/>
        </c:scaling>
        <c:delete val="0"/>
        <c:axPos val="b"/>
        <c:numFmt formatCode="#&quot;A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259696"/>
        <c:crosses val="autoZero"/>
        <c:auto val="1"/>
        <c:lblAlgn val="ctr"/>
        <c:lblOffset val="100"/>
        <c:noMultiLvlLbl val="0"/>
      </c:catAx>
      <c:valAx>
        <c:axId val="405259696"/>
        <c:scaling>
          <c:orientation val="minMax"/>
        </c:scaling>
        <c:delete val="0"/>
        <c:axPos val="l"/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7637888"/>
        <c:crosses val="autoZero"/>
        <c:crossBetween val="between"/>
      </c:valAx>
      <c:valAx>
        <c:axId val="405256952"/>
        <c:scaling>
          <c:orientation val="minMax"/>
        </c:scaling>
        <c:delete val="0"/>
        <c:axPos val="r"/>
        <c:numFmt formatCode="#,##0.0_);\(#,##0.0\)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260088"/>
        <c:crosses val="max"/>
        <c:crossBetween val="between"/>
      </c:valAx>
      <c:catAx>
        <c:axId val="405260088"/>
        <c:scaling>
          <c:orientation val="minMax"/>
        </c:scaling>
        <c:delete val="1"/>
        <c:axPos val="b"/>
        <c:numFmt formatCode="0&quot;A&quot;" sourceLinked="1"/>
        <c:majorTickMark val="out"/>
        <c:minorTickMark val="none"/>
        <c:tickLblPos val="nextTo"/>
        <c:crossAx val="4052569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v>Excess Cash and Mar. Sec.</c:v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numRef>
              <c:f>Model!$H$68:$M$68</c:f>
              <c:numCache>
                <c:formatCode>0"P"</c:formatCode>
                <c:ptCount val="6"/>
                <c:pt idx="0" formatCode="0&quot;A&quot;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</c:numCache>
            </c:numRef>
          </c:cat>
          <c:val>
            <c:numRef>
              <c:f>Model!$H$72:$M$72</c:f>
              <c:numCache>
                <c:formatCode>#,##0.0_);\(#,##0.0\)</c:formatCode>
                <c:ptCount val="6"/>
                <c:pt idx="0">
                  <c:v>21.425000000000011</c:v>
                </c:pt>
                <c:pt idx="1">
                  <c:v>9.2370555648813024E-14</c:v>
                </c:pt>
                <c:pt idx="2">
                  <c:v>9.2370555648813024E-14</c:v>
                </c:pt>
                <c:pt idx="3">
                  <c:v>-1.0658141036401503E-13</c:v>
                </c:pt>
                <c:pt idx="4">
                  <c:v>7.1054273576010019E-15</c:v>
                </c:pt>
                <c:pt idx="5">
                  <c:v>11.389628926682583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1D-4629-8F12-95D82BBED5A4}"/>
            </c:ext>
          </c:extLst>
        </c:ser>
        <c:ser>
          <c:idx val="1"/>
          <c:order val="1"/>
          <c:tx>
            <c:v>Revolver</c:v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numRef>
              <c:f>Model!$H$68:$M$68</c:f>
              <c:numCache>
                <c:formatCode>0"P"</c:formatCode>
                <c:ptCount val="6"/>
                <c:pt idx="0" formatCode="0&quot;A&quot;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</c:numCache>
            </c:numRef>
          </c:cat>
          <c:val>
            <c:numRef>
              <c:f>Model!$H$86:$M$86</c:f>
              <c:numCache>
                <c:formatCode>#,##0.0_);\(#,##0.0\)</c:formatCode>
                <c:ptCount val="6"/>
                <c:pt idx="0">
                  <c:v>7</c:v>
                </c:pt>
                <c:pt idx="1">
                  <c:v>106.50487033785512</c:v>
                </c:pt>
                <c:pt idx="2">
                  <c:v>78.120922022187955</c:v>
                </c:pt>
                <c:pt idx="3">
                  <c:v>49.018852852392477</c:v>
                </c:pt>
                <c:pt idx="4">
                  <c:v>19.186341972423847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B1D-4629-8F12-95D82BBED5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405258912"/>
        <c:axId val="405257736"/>
        <c:axId val="320632632"/>
      </c:bar3DChart>
      <c:catAx>
        <c:axId val="405258912"/>
        <c:scaling>
          <c:orientation val="minMax"/>
        </c:scaling>
        <c:delete val="0"/>
        <c:axPos val="b"/>
        <c:numFmt formatCode="0&quot;A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257736"/>
        <c:crosses val="autoZero"/>
        <c:auto val="1"/>
        <c:lblAlgn val="ctr"/>
        <c:lblOffset val="100"/>
        <c:noMultiLvlLbl val="0"/>
      </c:catAx>
      <c:valAx>
        <c:axId val="405257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258912"/>
        <c:crosses val="autoZero"/>
        <c:crossBetween val="between"/>
      </c:valAx>
      <c:serAx>
        <c:axId val="320632632"/>
        <c:scaling>
          <c:orientation val="minMax"/>
        </c:scaling>
        <c:delete val="1"/>
        <c:axPos val="b"/>
        <c:majorTickMark val="none"/>
        <c:minorTickMark val="none"/>
        <c:tickLblPos val="nextTo"/>
        <c:crossAx val="405257736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Scenario!$I$67</c:f>
          <c:strCache>
            <c:ptCount val="1"/>
            <c:pt idx="0">
              <c:v>Tornado Diagram: Impact on Share Price (Base Case: $157.11)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v>Base Case - 10%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Scenario!$I$70:$I$80</c:f>
              <c:strCache>
                <c:ptCount val="11"/>
                <c:pt idx="0">
                  <c:v>Growth Rate (stable period)</c:v>
                </c:pt>
                <c:pt idx="1">
                  <c:v>Sales Volumn Growth (Rolled)</c:v>
                </c:pt>
                <c:pt idx="2">
                  <c:v>Dividend Payout Ratio</c:v>
                </c:pt>
                <c:pt idx="3">
                  <c:v>Days Payables Outstanding</c:v>
                </c:pt>
                <c:pt idx="4">
                  <c:v>Sales Volumn Growth (Flat)</c:v>
                </c:pt>
                <c:pt idx="5">
                  <c:v>Inventory Turns</c:v>
                </c:pt>
                <c:pt idx="6">
                  <c:v>Days Sales Outstanding</c:v>
                </c:pt>
                <c:pt idx="7">
                  <c:v>Capital expenditures as % of sales</c:v>
                </c:pt>
                <c:pt idx="8">
                  <c:v>ROIC (stable period)</c:v>
                </c:pt>
                <c:pt idx="9">
                  <c:v>WACC (stable period)</c:v>
                </c:pt>
                <c:pt idx="10">
                  <c:v>Gross Profit Margin</c:v>
                </c:pt>
              </c:strCache>
            </c:strRef>
          </c:cat>
          <c:val>
            <c:numRef>
              <c:f>Scenario!$J$70:$J$80</c:f>
              <c:numCache>
                <c:formatCode>0.00%</c:formatCode>
                <c:ptCount val="11"/>
                <c:pt idx="0">
                  <c:v>1.8090111983411075E-16</c:v>
                </c:pt>
                <c:pt idx="1">
                  <c:v>-8.6027726155723052E-4</c:v>
                </c:pt>
                <c:pt idx="2">
                  <c:v>-8.8183504164056749E-4</c:v>
                </c:pt>
                <c:pt idx="3">
                  <c:v>-6.3350428176059395E-3</c:v>
                </c:pt>
                <c:pt idx="4">
                  <c:v>-7.3859322362590987E-3</c:v>
                </c:pt>
                <c:pt idx="5">
                  <c:v>-1.0447526755788717E-2</c:v>
                </c:pt>
                <c:pt idx="6">
                  <c:v>9.8848235967418686E-3</c:v>
                </c:pt>
                <c:pt idx="7">
                  <c:v>1.5646463591503866E-2</c:v>
                </c:pt>
                <c:pt idx="8">
                  <c:v>-3.5137388844220165E-2</c:v>
                </c:pt>
                <c:pt idx="9">
                  <c:v>0.1242616717375099</c:v>
                </c:pt>
                <c:pt idx="10">
                  <c:v>-0.17291950457664643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CC-492E-8551-1F37E2550210}"/>
            </c:ext>
          </c:extLst>
        </c:ser>
        <c:ser>
          <c:idx val="1"/>
          <c:order val="1"/>
          <c:tx>
            <c:v>Base Case + 10%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Scenario!$I$70:$I$80</c:f>
              <c:strCache>
                <c:ptCount val="11"/>
                <c:pt idx="0">
                  <c:v>Growth Rate (stable period)</c:v>
                </c:pt>
                <c:pt idx="1">
                  <c:v>Sales Volumn Growth (Rolled)</c:v>
                </c:pt>
                <c:pt idx="2">
                  <c:v>Dividend Payout Ratio</c:v>
                </c:pt>
                <c:pt idx="3">
                  <c:v>Days Payables Outstanding</c:v>
                </c:pt>
                <c:pt idx="4">
                  <c:v>Sales Volumn Growth (Flat)</c:v>
                </c:pt>
                <c:pt idx="5">
                  <c:v>Inventory Turns</c:v>
                </c:pt>
                <c:pt idx="6">
                  <c:v>Days Sales Outstanding</c:v>
                </c:pt>
                <c:pt idx="7">
                  <c:v>Capital expenditures as % of sales</c:v>
                </c:pt>
                <c:pt idx="8">
                  <c:v>ROIC (stable period)</c:v>
                </c:pt>
                <c:pt idx="9">
                  <c:v>WACC (stable period)</c:v>
                </c:pt>
                <c:pt idx="10">
                  <c:v>Gross Profit Margin</c:v>
                </c:pt>
              </c:strCache>
            </c:strRef>
          </c:cat>
          <c:val>
            <c:numRef>
              <c:f>Scenario!$K$70:$K$80</c:f>
              <c:numCache>
                <c:formatCode>0.00%</c:formatCode>
                <c:ptCount val="11"/>
                <c:pt idx="0">
                  <c:v>1.8090111983411075E-16</c:v>
                </c:pt>
                <c:pt idx="1">
                  <c:v>8.6383397124771707E-4</c:v>
                </c:pt>
                <c:pt idx="2">
                  <c:v>8.8296229486537739E-4</c:v>
                </c:pt>
                <c:pt idx="3">
                  <c:v>6.3282348579591797E-3</c:v>
                </c:pt>
                <c:pt idx="4">
                  <c:v>7.4773516393188333E-3</c:v>
                </c:pt>
                <c:pt idx="5">
                  <c:v>8.5342403805978868E-3</c:v>
                </c:pt>
                <c:pt idx="6">
                  <c:v>-9.9014456540359851E-3</c:v>
                </c:pt>
                <c:pt idx="7">
                  <c:v>-1.5676761457557958E-2</c:v>
                </c:pt>
                <c:pt idx="8">
                  <c:v>2.874877269072549E-2</c:v>
                </c:pt>
                <c:pt idx="9">
                  <c:v>-9.4035859693250567E-2</c:v>
                </c:pt>
                <c:pt idx="10">
                  <c:v>0.17257219929830389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CC-492E-8551-1F37E25502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overlap val="100"/>
        <c:axId val="405260480"/>
        <c:axId val="405258128"/>
      </c:barChart>
      <c:catAx>
        <c:axId val="4052604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258128"/>
        <c:crosses val="autoZero"/>
        <c:auto val="1"/>
        <c:lblAlgn val="ctr"/>
        <c:lblOffset val="100"/>
        <c:noMultiLvlLbl val="0"/>
      </c:catAx>
      <c:valAx>
        <c:axId val="4052581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260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Scenario!$I$67</c:f>
          <c:strCache>
            <c:ptCount val="1"/>
            <c:pt idx="0">
              <c:v>Tornado Diagram: Impact on Share Price (Base Case: $157.11)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Scenario!$J$69</c:f>
              <c:strCache>
                <c:ptCount val="1"/>
                <c:pt idx="0">
                  <c:v>10.0% Decrease in Parameter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Scenario!$I$70:$I$80</c:f>
              <c:strCache>
                <c:ptCount val="11"/>
                <c:pt idx="0">
                  <c:v>Growth Rate (stable period)</c:v>
                </c:pt>
                <c:pt idx="1">
                  <c:v>Sales Volumn Growth (Rolled)</c:v>
                </c:pt>
                <c:pt idx="2">
                  <c:v>Dividend Payout Ratio</c:v>
                </c:pt>
                <c:pt idx="3">
                  <c:v>Days Payables Outstanding</c:v>
                </c:pt>
                <c:pt idx="4">
                  <c:v>Sales Volumn Growth (Flat)</c:v>
                </c:pt>
                <c:pt idx="5">
                  <c:v>Inventory Turns</c:v>
                </c:pt>
                <c:pt idx="6">
                  <c:v>Days Sales Outstanding</c:v>
                </c:pt>
                <c:pt idx="7">
                  <c:v>Capital expenditures as % of sales</c:v>
                </c:pt>
                <c:pt idx="8">
                  <c:v>ROIC (stable period)</c:v>
                </c:pt>
                <c:pt idx="9">
                  <c:v>WACC (stable period)</c:v>
                </c:pt>
                <c:pt idx="10">
                  <c:v>Gross Profit Margin</c:v>
                </c:pt>
              </c:strCache>
            </c:strRef>
          </c:cat>
          <c:val>
            <c:numRef>
              <c:f>Scenario!$J$70:$J$80</c:f>
              <c:numCache>
                <c:formatCode>0.00%</c:formatCode>
                <c:ptCount val="11"/>
                <c:pt idx="0">
                  <c:v>1.8090111983411075E-16</c:v>
                </c:pt>
                <c:pt idx="1">
                  <c:v>-8.6027726155723052E-4</c:v>
                </c:pt>
                <c:pt idx="2">
                  <c:v>-8.8183504164056749E-4</c:v>
                </c:pt>
                <c:pt idx="3">
                  <c:v>-6.3350428176059395E-3</c:v>
                </c:pt>
                <c:pt idx="4">
                  <c:v>-7.3859322362590987E-3</c:v>
                </c:pt>
                <c:pt idx="5">
                  <c:v>-1.0447526755788717E-2</c:v>
                </c:pt>
                <c:pt idx="6">
                  <c:v>9.8848235967418686E-3</c:v>
                </c:pt>
                <c:pt idx="7">
                  <c:v>1.5646463591503866E-2</c:v>
                </c:pt>
                <c:pt idx="8">
                  <c:v>-3.5137388844220165E-2</c:v>
                </c:pt>
                <c:pt idx="9">
                  <c:v>0.1242616717375099</c:v>
                </c:pt>
                <c:pt idx="10">
                  <c:v>-0.17291950457664643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57-42DC-879F-CA37AA52CA48}"/>
            </c:ext>
          </c:extLst>
        </c:ser>
        <c:ser>
          <c:idx val="1"/>
          <c:order val="1"/>
          <c:tx>
            <c:strRef>
              <c:f>Scenario!$K$69</c:f>
              <c:strCache>
                <c:ptCount val="1"/>
                <c:pt idx="0">
                  <c:v>10.0% Increase in Parameter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Scenario!$I$70:$I$80</c:f>
              <c:strCache>
                <c:ptCount val="11"/>
                <c:pt idx="0">
                  <c:v>Growth Rate (stable period)</c:v>
                </c:pt>
                <c:pt idx="1">
                  <c:v>Sales Volumn Growth (Rolled)</c:v>
                </c:pt>
                <c:pt idx="2">
                  <c:v>Dividend Payout Ratio</c:v>
                </c:pt>
                <c:pt idx="3">
                  <c:v>Days Payables Outstanding</c:v>
                </c:pt>
                <c:pt idx="4">
                  <c:v>Sales Volumn Growth (Flat)</c:v>
                </c:pt>
                <c:pt idx="5">
                  <c:v>Inventory Turns</c:v>
                </c:pt>
                <c:pt idx="6">
                  <c:v>Days Sales Outstanding</c:v>
                </c:pt>
                <c:pt idx="7">
                  <c:v>Capital expenditures as % of sales</c:v>
                </c:pt>
                <c:pt idx="8">
                  <c:v>ROIC (stable period)</c:v>
                </c:pt>
                <c:pt idx="9">
                  <c:v>WACC (stable period)</c:v>
                </c:pt>
                <c:pt idx="10">
                  <c:v>Gross Profit Margin</c:v>
                </c:pt>
              </c:strCache>
            </c:strRef>
          </c:cat>
          <c:val>
            <c:numRef>
              <c:f>Scenario!$K$70:$K$80</c:f>
              <c:numCache>
                <c:formatCode>0.00%</c:formatCode>
                <c:ptCount val="11"/>
                <c:pt idx="0">
                  <c:v>1.8090111983411075E-16</c:v>
                </c:pt>
                <c:pt idx="1">
                  <c:v>8.6383397124771707E-4</c:v>
                </c:pt>
                <c:pt idx="2">
                  <c:v>8.8296229486537739E-4</c:v>
                </c:pt>
                <c:pt idx="3">
                  <c:v>6.3282348579591797E-3</c:v>
                </c:pt>
                <c:pt idx="4">
                  <c:v>7.4773516393188333E-3</c:v>
                </c:pt>
                <c:pt idx="5">
                  <c:v>8.5342403805978868E-3</c:v>
                </c:pt>
                <c:pt idx="6">
                  <c:v>-9.9014456540359851E-3</c:v>
                </c:pt>
                <c:pt idx="7">
                  <c:v>-1.5676761457557958E-2</c:v>
                </c:pt>
                <c:pt idx="8">
                  <c:v>2.874877269072549E-2</c:v>
                </c:pt>
                <c:pt idx="9">
                  <c:v>-9.4035859693250567E-2</c:v>
                </c:pt>
                <c:pt idx="10">
                  <c:v>0.17257219929830389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57-42DC-879F-CA37AA52CA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3"/>
        <c:overlap val="100"/>
        <c:axId val="172544911"/>
        <c:axId val="361111919"/>
      </c:barChart>
      <c:catAx>
        <c:axId val="17254491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111919"/>
        <c:crosses val="autoZero"/>
        <c:auto val="1"/>
        <c:lblAlgn val="ctr"/>
        <c:lblOffset val="100"/>
        <c:noMultiLvlLbl val="0"/>
      </c:catAx>
      <c:valAx>
        <c:axId val="3611119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5449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croll" dx="31" fmlaLink="D4" horiz="1" max="40" page="10" val="26"/>
</file>

<file path=xl/ctrlProps/ctrlProp2.xml><?xml version="1.0" encoding="utf-8"?>
<formControlPr xmlns="http://schemas.microsoft.com/office/spreadsheetml/2009/9/main" objectType="Scroll" dx="31" fmlaLink="D5" horiz="1" max="40" page="10" val="20"/>
</file>

<file path=xl/ctrlProps/ctrlProp3.xml><?xml version="1.0" encoding="utf-8"?>
<formControlPr xmlns="http://schemas.microsoft.com/office/spreadsheetml/2009/9/main" objectType="Scroll" dx="31" fmlaLink="D7" horiz="1" max="40" page="10" val="22"/>
</file>

<file path=xl/ctrlProps/ctrlProp4.xml><?xml version="1.0" encoding="utf-8"?>
<formControlPr xmlns="http://schemas.microsoft.com/office/spreadsheetml/2009/9/main" objectType="Scroll" dx="31" fmlaLink="D8" horiz="1" max="40" page="10" val="20"/>
</file>

<file path=xl/ctrlProps/ctrlProp5.xml><?xml version="1.0" encoding="utf-8"?>
<formControlPr xmlns="http://schemas.microsoft.com/office/spreadsheetml/2009/9/main" objectType="Scroll" dx="31" fmlaLink="$D$13" horiz="1" inc="2" max="80" min="50" page="0" val="60"/>
</file>

<file path=xl/ctrlProps/ctrlProp6.xml><?xml version="1.0" encoding="utf-8"?>
<formControlPr xmlns="http://schemas.microsoft.com/office/spreadsheetml/2009/9/main" objectType="Scroll" dx="31" fmlaLink="$D$14" horiz="1" max="50" min="35" page="10" val="41"/>
</file>

<file path=xl/ctrlProps/ctrlProp7.xml><?xml version="1.0" encoding="utf-8"?>
<formControlPr xmlns="http://schemas.microsoft.com/office/spreadsheetml/2009/9/main" objectType="Scroll" dx="31" fmlaLink="$D$15" horiz="1" inc="2" max="170" min="60" page="5" val="60"/>
</file>

<file path=xl/ctrlProps/ctrlProp8.xml><?xml version="1.0" encoding="utf-8"?>
<formControlPr xmlns="http://schemas.microsoft.com/office/spreadsheetml/2009/9/main" objectType="Scroll" dx="31" fmlaLink="$D$16" horiz="1" max="20" page="10" val="8"/>
</file>

<file path=xl/ctrlProps/ctrlProp9.xml><?xml version="1.0" encoding="utf-8"?>
<formControlPr xmlns="http://schemas.microsoft.com/office/spreadsheetml/2009/9/main" objectType="Scroll" dx="31" fmlaLink="$D$17" horiz="1" inc="2" max="50" min="30" page="2" val="42"/>
</file>

<file path=xl/ctrlProps/ctrlProp10.xml><?xml version="1.0" encoding="utf-8"?>
<formControlPr xmlns="http://schemas.microsoft.com/office/spreadsheetml/2009/9/main" objectType="Scroll" dx="31" fmlaLink="D10" horiz="1" inc="2" max="30" page="10" val="16"/>
</file>

<file path=xl/ctrlProps/ctrlProp11.xml><?xml version="1.0" encoding="utf-8"?>
<formControlPr xmlns="http://schemas.microsoft.com/office/spreadsheetml/2009/9/main" objectType="Scroll" dx="31" fmlaLink="$D$11" horiz="1" max="100" page="2" val="53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Drop" dropStyle="combo" dx="25" fmlaLink="$D$2" fmlaRange="$B$6:$B$31" sel="2" val="4"/>
</file>

<file path=xl/ctrlProps/ctrlProp15.xml><?xml version="1.0" encoding="utf-8"?>
<formControlPr xmlns="http://schemas.microsoft.com/office/spreadsheetml/2009/9/main" objectType="Spin" dx="31" fmlaLink="C32" max="12" page="10" val="8"/>
</file>

<file path=xl/ctrlProps/ctrlProp16.xml><?xml version="1.0" encoding="utf-8"?>
<formControlPr xmlns="http://schemas.microsoft.com/office/spreadsheetml/2009/9/main" objectType="Spin" dx="31" fmlaLink="D32" max="12" page="10" val="4"/>
</file>

<file path=xl/ctrlProps/ctrlProp17.xml><?xml version="1.0" encoding="utf-8"?>
<formControlPr xmlns="http://schemas.microsoft.com/office/spreadsheetml/2009/9/main" objectType="Spin" dx="31" fmlaLink="E32" max="8" page="10" val="4"/>
</file>

<file path=xl/ctrlProps/ctrlProp18.xml><?xml version="1.0" encoding="utf-8"?>
<formControlPr xmlns="http://schemas.microsoft.com/office/spreadsheetml/2009/9/main" objectType="Spin" dx="31" fmlaLink="F32" inc="2" max="40" page="10" val="10"/>
</file>

<file path=xl/ctrlProps/ctrlProp19.xml><?xml version="1.0" encoding="utf-8"?>
<formControlPr xmlns="http://schemas.microsoft.com/office/spreadsheetml/2009/9/main" objectType="Spin" dx="31" fmlaLink="G32" inc="5" max="90" min="30" page="10" val="60"/>
</file>

<file path=xl/ctrlProps/ctrlProp20.xml><?xml version="1.0" encoding="utf-8"?>
<formControlPr xmlns="http://schemas.microsoft.com/office/spreadsheetml/2009/9/main" objectType="Spin" dx="31" fmlaLink="H32" max="50" min="30" page="10" val="41"/>
</file>

<file path=xl/ctrlProps/ctrlProp21.xml><?xml version="1.0" encoding="utf-8"?>
<formControlPr xmlns="http://schemas.microsoft.com/office/spreadsheetml/2009/9/main" objectType="Spin" dx="31" fmlaLink="I32" inc="5" max="90" min="30" page="10" val="60"/>
</file>

<file path=xl/ctrlProps/ctrlProp22.xml><?xml version="1.0" encoding="utf-8"?>
<formControlPr xmlns="http://schemas.microsoft.com/office/spreadsheetml/2009/9/main" objectType="Spin" dx="31" fmlaLink="J32" max="12" page="10" val="8"/>
</file>

<file path=xl/ctrlProps/ctrlProp23.xml><?xml version="1.0" encoding="utf-8"?>
<formControlPr xmlns="http://schemas.microsoft.com/office/spreadsheetml/2009/9/main" objectType="Spin" dx="31" fmlaLink="K32" max="150" min="5" page="10" val="95"/>
</file>

<file path=xl/ctrlProps/ctrlProp24.xml><?xml version="1.0" encoding="utf-8"?>
<formControlPr xmlns="http://schemas.microsoft.com/office/spreadsheetml/2009/9/main" objectType="Spin" dx="31" fmlaLink="L32" max="150" min="50" page="10" val="96"/>
</file>

<file path=xl/ctrlProps/ctrlProp25.xml><?xml version="1.0" encoding="utf-8"?>
<formControlPr xmlns="http://schemas.microsoft.com/office/spreadsheetml/2009/9/main" objectType="Spin" dx="31" fmlaLink="M32" max="100" page="10" val="27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9525</xdr:rowOff>
        </xdr:from>
        <xdr:to>
          <xdr:col>3</xdr:col>
          <xdr:colOff>1057275</xdr:colOff>
          <xdr:row>4</xdr:row>
          <xdr:rowOff>9525</xdr:rowOff>
        </xdr:to>
        <xdr:sp macro="" textlink="">
          <xdr:nvSpPr>
            <xdr:cNvPr id="2054" name="Scroll Bar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</xdr:row>
          <xdr:rowOff>9525</xdr:rowOff>
        </xdr:from>
        <xdr:to>
          <xdr:col>3</xdr:col>
          <xdr:colOff>1057275</xdr:colOff>
          <xdr:row>5</xdr:row>
          <xdr:rowOff>9525</xdr:rowOff>
        </xdr:to>
        <xdr:sp macro="" textlink="">
          <xdr:nvSpPr>
            <xdr:cNvPr id="2055" name="Scroll Bar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6</xdr:row>
          <xdr:rowOff>9525</xdr:rowOff>
        </xdr:from>
        <xdr:to>
          <xdr:col>3</xdr:col>
          <xdr:colOff>1057275</xdr:colOff>
          <xdr:row>7</xdr:row>
          <xdr:rowOff>9525</xdr:rowOff>
        </xdr:to>
        <xdr:sp macro="" textlink="">
          <xdr:nvSpPr>
            <xdr:cNvPr id="2056" name="Scroll Bar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</xdr:rowOff>
        </xdr:from>
        <xdr:to>
          <xdr:col>3</xdr:col>
          <xdr:colOff>1057275</xdr:colOff>
          <xdr:row>8</xdr:row>
          <xdr:rowOff>9525</xdr:rowOff>
        </xdr:to>
        <xdr:sp macro="" textlink="">
          <xdr:nvSpPr>
            <xdr:cNvPr id="2057" name="Scroll Bar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</xdr:row>
          <xdr:rowOff>9525</xdr:rowOff>
        </xdr:from>
        <xdr:to>
          <xdr:col>3</xdr:col>
          <xdr:colOff>1057275</xdr:colOff>
          <xdr:row>13</xdr:row>
          <xdr:rowOff>9525</xdr:rowOff>
        </xdr:to>
        <xdr:sp macro="" textlink="">
          <xdr:nvSpPr>
            <xdr:cNvPr id="2058" name="Scroll Bar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9525</xdr:rowOff>
        </xdr:from>
        <xdr:to>
          <xdr:col>3</xdr:col>
          <xdr:colOff>1057275</xdr:colOff>
          <xdr:row>14</xdr:row>
          <xdr:rowOff>9525</xdr:rowOff>
        </xdr:to>
        <xdr:sp macro="" textlink="">
          <xdr:nvSpPr>
            <xdr:cNvPr id="2059" name="Scroll Bar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14</xdr:row>
          <xdr:rowOff>9525</xdr:rowOff>
        </xdr:from>
        <xdr:to>
          <xdr:col>3</xdr:col>
          <xdr:colOff>1057275</xdr:colOff>
          <xdr:row>15</xdr:row>
          <xdr:rowOff>9525</xdr:rowOff>
        </xdr:to>
        <xdr:sp macro="" textlink="">
          <xdr:nvSpPr>
            <xdr:cNvPr id="2060" name="Scroll Bar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15</xdr:row>
          <xdr:rowOff>9525</xdr:rowOff>
        </xdr:from>
        <xdr:to>
          <xdr:col>3</xdr:col>
          <xdr:colOff>1057275</xdr:colOff>
          <xdr:row>16</xdr:row>
          <xdr:rowOff>9525</xdr:rowOff>
        </xdr:to>
        <xdr:sp macro="" textlink="">
          <xdr:nvSpPr>
            <xdr:cNvPr id="2061" name="Scroll Bar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16</xdr:row>
          <xdr:rowOff>9525</xdr:rowOff>
        </xdr:from>
        <xdr:to>
          <xdr:col>3</xdr:col>
          <xdr:colOff>1057275</xdr:colOff>
          <xdr:row>17</xdr:row>
          <xdr:rowOff>9525</xdr:rowOff>
        </xdr:to>
        <xdr:sp macro="" textlink="">
          <xdr:nvSpPr>
            <xdr:cNvPr id="2062" name="Scroll Bar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9525</xdr:rowOff>
        </xdr:from>
        <xdr:to>
          <xdr:col>3</xdr:col>
          <xdr:colOff>1057275</xdr:colOff>
          <xdr:row>10</xdr:row>
          <xdr:rowOff>9525</xdr:rowOff>
        </xdr:to>
        <xdr:sp macro="" textlink="">
          <xdr:nvSpPr>
            <xdr:cNvPr id="2064" name="Scroll Bar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xdr:absoluteAnchor>
    <xdr:pos x="4971711" y="2524984"/>
    <xdr:ext cx="6327298" cy="1322071"/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4</xdr:col>
      <xdr:colOff>628311</xdr:colOff>
      <xdr:row>19</xdr:row>
      <xdr:rowOff>69476</xdr:rowOff>
    </xdr:from>
    <xdr:to>
      <xdr:col>11</xdr:col>
      <xdr:colOff>95474</xdr:colOff>
      <xdr:row>26</xdr:row>
      <xdr:rowOff>151055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628311</xdr:colOff>
      <xdr:row>26</xdr:row>
      <xdr:rowOff>176454</xdr:rowOff>
    </xdr:from>
    <xdr:to>
      <xdr:col>11</xdr:col>
      <xdr:colOff>117886</xdr:colOff>
      <xdr:row>37</xdr:row>
      <xdr:rowOff>5228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10</xdr:row>
          <xdr:rowOff>9525</xdr:rowOff>
        </xdr:from>
        <xdr:to>
          <xdr:col>3</xdr:col>
          <xdr:colOff>1057275</xdr:colOff>
          <xdr:row>11</xdr:row>
          <xdr:rowOff>9525</xdr:rowOff>
        </xdr:to>
        <xdr:sp macro="" textlink="">
          <xdr:nvSpPr>
            <xdr:cNvPr id="2065" name="Scroll Bar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xdr:twoCellAnchor>
    <xdr:from>
      <xdr:col>1</xdr:col>
      <xdr:colOff>0</xdr:colOff>
      <xdr:row>22</xdr:row>
      <xdr:rowOff>181429</xdr:rowOff>
    </xdr:from>
    <xdr:to>
      <xdr:col>4</xdr:col>
      <xdr:colOff>209551</xdr:colOff>
      <xdr:row>38</xdr:row>
      <xdr:rowOff>133350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5</xdr:row>
          <xdr:rowOff>190500</xdr:rowOff>
        </xdr:from>
        <xdr:to>
          <xdr:col>0</xdr:col>
          <xdr:colOff>1504950</xdr:colOff>
          <xdr:row>8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1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Sensitivity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18</xdr:row>
          <xdr:rowOff>180975</xdr:rowOff>
        </xdr:from>
        <xdr:to>
          <xdr:col>0</xdr:col>
          <xdr:colOff>1457325</xdr:colOff>
          <xdr:row>20</xdr:row>
          <xdr:rowOff>190500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1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Sensitivity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1104900</xdr:colOff>
          <xdr:row>1</xdr:row>
          <xdr:rowOff>9525</xdr:rowOff>
        </xdr:from>
        <xdr:to>
          <xdr:col>1</xdr:col>
          <xdr:colOff>2428875</xdr:colOff>
          <xdr:row>1</xdr:row>
          <xdr:rowOff>314325</xdr:rowOff>
        </xdr:to>
        <xdr:sp macro="" textlink="">
          <xdr:nvSpPr>
            <xdr:cNvPr id="15361" name="Drop Dow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2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31</xdr:row>
          <xdr:rowOff>0</xdr:rowOff>
        </xdr:from>
        <xdr:to>
          <xdr:col>2</xdr:col>
          <xdr:colOff>638175</xdr:colOff>
          <xdr:row>32</xdr:row>
          <xdr:rowOff>85725</xdr:rowOff>
        </xdr:to>
        <xdr:sp macro="" textlink="">
          <xdr:nvSpPr>
            <xdr:cNvPr id="15362" name="Spinner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2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31</xdr:row>
          <xdr:rowOff>0</xdr:rowOff>
        </xdr:from>
        <xdr:to>
          <xdr:col>3</xdr:col>
          <xdr:colOff>638175</xdr:colOff>
          <xdr:row>32</xdr:row>
          <xdr:rowOff>85725</xdr:rowOff>
        </xdr:to>
        <xdr:sp macro="" textlink="">
          <xdr:nvSpPr>
            <xdr:cNvPr id="15363" name="Spinner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2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123825</xdr:colOff>
          <xdr:row>31</xdr:row>
          <xdr:rowOff>19050</xdr:rowOff>
        </xdr:from>
        <xdr:to>
          <xdr:col>5</xdr:col>
          <xdr:colOff>0</xdr:colOff>
          <xdr:row>32</xdr:row>
          <xdr:rowOff>104775</xdr:rowOff>
        </xdr:to>
        <xdr:sp macro="" textlink="">
          <xdr:nvSpPr>
            <xdr:cNvPr id="15364" name="Spinner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2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31</xdr:row>
          <xdr:rowOff>0</xdr:rowOff>
        </xdr:from>
        <xdr:to>
          <xdr:col>5</xdr:col>
          <xdr:colOff>638175</xdr:colOff>
          <xdr:row>32</xdr:row>
          <xdr:rowOff>85725</xdr:rowOff>
        </xdr:to>
        <xdr:sp macro="" textlink="">
          <xdr:nvSpPr>
            <xdr:cNvPr id="15365" name="Spinner 5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2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352425</xdr:colOff>
          <xdr:row>31</xdr:row>
          <xdr:rowOff>19050</xdr:rowOff>
        </xdr:from>
        <xdr:to>
          <xdr:col>6</xdr:col>
          <xdr:colOff>923925</xdr:colOff>
          <xdr:row>32</xdr:row>
          <xdr:rowOff>104775</xdr:rowOff>
        </xdr:to>
        <xdr:sp macro="" textlink="">
          <xdr:nvSpPr>
            <xdr:cNvPr id="15366" name="Spinner 6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2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66675</xdr:colOff>
          <xdr:row>31</xdr:row>
          <xdr:rowOff>19050</xdr:rowOff>
        </xdr:from>
        <xdr:to>
          <xdr:col>7</xdr:col>
          <xdr:colOff>638175</xdr:colOff>
          <xdr:row>32</xdr:row>
          <xdr:rowOff>104775</xdr:rowOff>
        </xdr:to>
        <xdr:sp macro="" textlink="">
          <xdr:nvSpPr>
            <xdr:cNvPr id="15367" name="Spinner 7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2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295275</xdr:colOff>
          <xdr:row>31</xdr:row>
          <xdr:rowOff>9525</xdr:rowOff>
        </xdr:from>
        <xdr:to>
          <xdr:col>8</xdr:col>
          <xdr:colOff>866775</xdr:colOff>
          <xdr:row>32</xdr:row>
          <xdr:rowOff>95250</xdr:rowOff>
        </xdr:to>
        <xdr:sp macro="" textlink="">
          <xdr:nvSpPr>
            <xdr:cNvPr id="15368" name="Spinner 8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02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390525</xdr:colOff>
          <xdr:row>31</xdr:row>
          <xdr:rowOff>9525</xdr:rowOff>
        </xdr:from>
        <xdr:to>
          <xdr:col>9</xdr:col>
          <xdr:colOff>962025</xdr:colOff>
          <xdr:row>32</xdr:row>
          <xdr:rowOff>95250</xdr:rowOff>
        </xdr:to>
        <xdr:sp macro="" textlink="">
          <xdr:nvSpPr>
            <xdr:cNvPr id="15369" name="Spinner 9" hidden="1">
              <a:extLst>
                <a:ext uri="{63B3BB69-23CF-44E3-9099-C40C66FF867C}">
                  <a14:compatExt spid="_x0000_s15369"/>
                </a:ext>
                <a:ext uri="{FF2B5EF4-FFF2-40B4-BE49-F238E27FC236}">
                  <a16:creationId xmlns:a16="http://schemas.microsoft.com/office/drawing/2014/main" id="{00000000-0008-0000-0200-00000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31</xdr:row>
          <xdr:rowOff>19050</xdr:rowOff>
        </xdr:from>
        <xdr:to>
          <xdr:col>10</xdr:col>
          <xdr:colOff>647700</xdr:colOff>
          <xdr:row>32</xdr:row>
          <xdr:rowOff>104775</xdr:rowOff>
        </xdr:to>
        <xdr:sp macro="" textlink="">
          <xdr:nvSpPr>
            <xdr:cNvPr id="15370" name="Spinner 10" hidden="1">
              <a:extLst>
                <a:ext uri="{63B3BB69-23CF-44E3-9099-C40C66FF867C}">
                  <a14:compatExt spid="_x0000_s15370"/>
                </a:ext>
                <a:ext uri="{FF2B5EF4-FFF2-40B4-BE49-F238E27FC236}">
                  <a16:creationId xmlns:a16="http://schemas.microsoft.com/office/drawing/2014/main" id="{00000000-0008-0000-0200-00000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85725</xdr:colOff>
          <xdr:row>31</xdr:row>
          <xdr:rowOff>19050</xdr:rowOff>
        </xdr:from>
        <xdr:to>
          <xdr:col>12</xdr:col>
          <xdr:colOff>0</xdr:colOff>
          <xdr:row>32</xdr:row>
          <xdr:rowOff>104775</xdr:rowOff>
        </xdr:to>
        <xdr:sp macro="" textlink="">
          <xdr:nvSpPr>
            <xdr:cNvPr id="15371" name="Spinner 11" hidden="1">
              <a:extLst>
                <a:ext uri="{63B3BB69-23CF-44E3-9099-C40C66FF867C}">
                  <a14:compatExt spid="_x0000_s15371"/>
                </a:ext>
                <a:ext uri="{FF2B5EF4-FFF2-40B4-BE49-F238E27FC236}">
                  <a16:creationId xmlns:a16="http://schemas.microsoft.com/office/drawing/2014/main" id="{00000000-0008-0000-0200-00000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85725</xdr:colOff>
          <xdr:row>31</xdr:row>
          <xdr:rowOff>19050</xdr:rowOff>
        </xdr:from>
        <xdr:to>
          <xdr:col>13</xdr:col>
          <xdr:colOff>0</xdr:colOff>
          <xdr:row>32</xdr:row>
          <xdr:rowOff>104775</xdr:rowOff>
        </xdr:to>
        <xdr:sp macro="" textlink="">
          <xdr:nvSpPr>
            <xdr:cNvPr id="15372" name="Spinner 12" hidden="1">
              <a:extLst>
                <a:ext uri="{63B3BB69-23CF-44E3-9099-C40C66FF867C}">
                  <a14:compatExt spid="_x0000_s15372"/>
                </a:ext>
                <a:ext uri="{FF2B5EF4-FFF2-40B4-BE49-F238E27FC236}">
                  <a16:creationId xmlns:a16="http://schemas.microsoft.com/office/drawing/2014/main" id="{00000000-0008-0000-0200-00000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5</xdr:col>
      <xdr:colOff>152400</xdr:colOff>
      <xdr:row>36</xdr:row>
      <xdr:rowOff>50800</xdr:rowOff>
    </xdr:from>
    <xdr:to>
      <xdr:col>6</xdr:col>
      <xdr:colOff>749300</xdr:colOff>
      <xdr:row>37</xdr:row>
      <xdr:rowOff>165100</xdr:rowOff>
    </xdr:to>
    <xdr:sp macro="[0]!ScenarioALL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911600" y="3663950"/>
          <a:ext cx="1257300" cy="311150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Run All Scenarios</a:t>
          </a:r>
        </a:p>
      </xdr:txBody>
    </xdr:sp>
    <xdr:clientData/>
  </xdr:twoCellAnchor>
  <xdr:twoCellAnchor>
    <xdr:from>
      <xdr:col>4</xdr:col>
      <xdr:colOff>609600</xdr:colOff>
      <xdr:row>0</xdr:row>
      <xdr:rowOff>260350</xdr:rowOff>
    </xdr:from>
    <xdr:to>
      <xdr:col>6</xdr:col>
      <xdr:colOff>762000</xdr:colOff>
      <xdr:row>3</xdr:row>
      <xdr:rowOff>6350</xdr:rowOff>
    </xdr:to>
    <xdr:sp macro="[0]!Transfer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118100" y="260350"/>
          <a:ext cx="1511300" cy="603250"/>
        </a:xfrm>
        <a:prstGeom prst="roundRect">
          <a:avLst/>
        </a:prstGeom>
        <a:gradFill>
          <a:gsLst>
            <a:gs pos="0">
              <a:schemeClr val="accent1"/>
            </a:gs>
            <a:gs pos="100000">
              <a:schemeClr val="accent1">
                <a:tint val="50000"/>
                <a:shade val="100000"/>
                <a:satMod val="350000"/>
              </a:schemeClr>
            </a:gs>
          </a:gsLst>
        </a:gra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Set up Model for</a:t>
          </a:r>
          <a:r>
            <a:rPr lang="en-US" sz="1100" baseline="0"/>
            <a:t> Given Case</a:t>
          </a:r>
          <a:endParaRPr lang="en-US" sz="1100"/>
        </a:p>
      </xdr:txBody>
    </xdr:sp>
    <xdr:clientData/>
  </xdr:twoCellAnchor>
  <xdr:twoCellAnchor>
    <xdr:from>
      <xdr:col>7</xdr:col>
      <xdr:colOff>69850</xdr:colOff>
      <xdr:row>1</xdr:row>
      <xdr:rowOff>6350</xdr:rowOff>
    </xdr:from>
    <xdr:to>
      <xdr:col>9</xdr:col>
      <xdr:colOff>69850</xdr:colOff>
      <xdr:row>3</xdr:row>
      <xdr:rowOff>19050</xdr:rowOff>
    </xdr:to>
    <xdr:sp macro="[0]!Rese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877050" y="273050"/>
          <a:ext cx="1555750" cy="603250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Reset</a:t>
          </a:r>
          <a:r>
            <a:rPr lang="en-US" sz="1100" baseline="0"/>
            <a:t> Model with Base Case Parameters</a:t>
          </a:r>
          <a:endParaRPr lang="en-US" sz="1100"/>
        </a:p>
      </xdr:txBody>
    </xdr:sp>
    <xdr:clientData/>
  </xdr:twoCellAnchor>
  <xdr:twoCellAnchor>
    <xdr:from>
      <xdr:col>4</xdr:col>
      <xdr:colOff>331470</xdr:colOff>
      <xdr:row>80</xdr:row>
      <xdr:rowOff>114300</xdr:rowOff>
    </xdr:from>
    <xdr:to>
      <xdr:col>14</xdr:col>
      <xdr:colOff>579120</xdr:colOff>
      <xdr:row>99</xdr:row>
      <xdr:rowOff>91440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6350</xdr:colOff>
      <xdr:row>37</xdr:row>
      <xdr:rowOff>107950</xdr:rowOff>
    </xdr:from>
    <xdr:to>
      <xdr:col>4</xdr:col>
      <xdr:colOff>749300</xdr:colOff>
      <xdr:row>37</xdr:row>
      <xdr:rowOff>114300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CxnSpPr/>
      </xdr:nvCxnSpPr>
      <xdr:spPr>
        <a:xfrm flipH="1" flipV="1">
          <a:off x="4349750" y="7874000"/>
          <a:ext cx="742950" cy="6350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25400</xdr:colOff>
      <xdr:row>13</xdr:row>
      <xdr:rowOff>101600</xdr:rowOff>
    </xdr:from>
    <xdr:to>
      <xdr:col>9</xdr:col>
      <xdr:colOff>501650</xdr:colOff>
      <xdr:row>13</xdr:row>
      <xdr:rowOff>101600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CxnSpPr/>
      </xdr:nvCxnSpPr>
      <xdr:spPr>
        <a:xfrm flipH="1">
          <a:off x="8305800" y="2749550"/>
          <a:ext cx="476250" cy="0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635000</xdr:colOff>
      <xdr:row>12</xdr:row>
      <xdr:rowOff>88900</xdr:rowOff>
    </xdr:from>
    <xdr:to>
      <xdr:col>13</xdr:col>
      <xdr:colOff>527050</xdr:colOff>
      <xdr:row>15</xdr:row>
      <xdr:rowOff>38100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 txBox="1"/>
      </xdr:nvSpPr>
      <xdr:spPr>
        <a:xfrm>
          <a:off x="8915400" y="2540000"/>
          <a:ext cx="2533650" cy="539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oneCellAnchor>
    <xdr:from>
      <xdr:col>10</xdr:col>
      <xdr:colOff>98425</xdr:colOff>
      <xdr:row>12</xdr:row>
      <xdr:rowOff>184150</xdr:rowOff>
    </xdr:from>
    <xdr:ext cx="2313134" cy="3524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00000000-0008-0000-0600-000007000000}"/>
                </a:ext>
              </a:extLst>
            </xdr:cNvPr>
            <xdr:cNvSpPr txBox="1"/>
          </xdr:nvSpPr>
          <xdr:spPr>
            <a:xfrm>
              <a:off x="9039225" y="2635250"/>
              <a:ext cx="2313134" cy="3524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𝑁𝑜𝑛𝐶𝑎𝑠h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𝑁𝐼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 (2019)</m:t>
                        </m:r>
                      </m:num>
                      <m:den>
                        <m:d>
                          <m:d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𝐸𝑞𝑢𝑖𝑡𝑦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−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𝐶𝑎𝑠h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𝑎𝑛𝑑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𝑀𝑘𝑡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. 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𝑆𝑒𝑐</m:t>
                            </m:r>
                          </m:e>
                        </m:d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(2018)</m:t>
                        </m:r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7" name="TextBox 6"/>
            <xdr:cNvSpPr txBox="1"/>
          </xdr:nvSpPr>
          <xdr:spPr>
            <a:xfrm>
              <a:off x="9039225" y="2635250"/>
              <a:ext cx="2313134" cy="3524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i="0">
                  <a:latin typeface="Cambria Math" panose="02040503050406030204" pitchFamily="18" charset="0"/>
                </a:rPr>
                <a:t>(</a:t>
              </a:r>
              <a:r>
                <a:rPr lang="en-US" sz="1100" b="0" i="0">
                  <a:latin typeface="Cambria Math" panose="02040503050406030204" pitchFamily="18" charset="0"/>
                </a:rPr>
                <a:t>𝑁𝑜𝑛𝐶𝑎𝑠ℎ 𝑁𝐼 (2019))/((𝐸𝑞𝑢𝑖𝑡𝑦−𝐶𝑎𝑠ℎ 𝑎𝑛𝑑 𝑀𝑘𝑡. 𝑆𝑒𝑐)(2018))</a:t>
              </a:r>
              <a:endParaRPr lang="en-US" sz="1100"/>
            </a:p>
          </xdr:txBody>
        </xdr:sp>
      </mc:Fallback>
    </mc:AlternateContent>
    <xdr:clientData/>
  </xdr:oneCellAnchor>
  <xdr:twoCellAnchor>
    <xdr:from>
      <xdr:col>9</xdr:col>
      <xdr:colOff>0</xdr:colOff>
      <xdr:row>10</xdr:row>
      <xdr:rowOff>25400</xdr:rowOff>
    </xdr:from>
    <xdr:to>
      <xdr:col>9</xdr:col>
      <xdr:colOff>615950</xdr:colOff>
      <xdr:row>12</xdr:row>
      <xdr:rowOff>101600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CxnSpPr/>
      </xdr:nvCxnSpPr>
      <xdr:spPr>
        <a:xfrm flipH="1">
          <a:off x="8280400" y="2082800"/>
          <a:ext cx="615950" cy="469900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647700</xdr:colOff>
      <xdr:row>9</xdr:row>
      <xdr:rowOff>82550</xdr:rowOff>
    </xdr:from>
    <xdr:to>
      <xdr:col>14</xdr:col>
      <xdr:colOff>488950</xdr:colOff>
      <xdr:row>11</xdr:row>
      <xdr:rowOff>6350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00000000-0008-0000-0600-00000B000000}"/>
                </a:ext>
              </a:extLst>
            </xdr:cNvPr>
            <xdr:cNvSpPr txBox="1"/>
          </xdr:nvSpPr>
          <xdr:spPr>
            <a:xfrm>
              <a:off x="8928100" y="1943100"/>
              <a:ext cx="3143250" cy="31750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𝑁𝐼</m:t>
                    </m:r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2019</m:t>
                        </m:r>
                      </m:e>
                    </m:d>
                    <m:r>
                      <a:rPr lang="en-US" sz="1100" b="0" i="1">
                        <a:latin typeface="Cambria Math" panose="02040503050406030204" pitchFamily="18" charset="0"/>
                      </a:rPr>
                      <m:t>−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𝐴𝑓𝑡𝑒𝑟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𝑇𝑎𝑥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𝐼𝑛𝑡𝑒𝑟𝑒𝑠𝑡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𝐼𝑛𝑐𝑜𝑚𝑒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 (2019)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1" name="TextBox 10"/>
            <xdr:cNvSpPr txBox="1"/>
          </xdr:nvSpPr>
          <xdr:spPr>
            <a:xfrm>
              <a:off x="8928100" y="1943100"/>
              <a:ext cx="3143250" cy="31750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𝑁𝐼(2019)−𝐴𝑓𝑡𝑒𝑟 𝑇𝑎𝑥 𝐼𝑛𝑡𝑒𝑟𝑒𝑠𝑡 𝐼𝑛𝑐𝑜𝑚𝑒 (2019)</a:t>
              </a:r>
              <a:endParaRPr lang="en-US" sz="1100"/>
            </a:p>
          </xdr:txBody>
        </xdr:sp>
      </mc:Fallback>
    </mc:AlternateContent>
    <xdr:clientData/>
  </xdr:twoCellAnchor>
  <xdr:twoCellAnchor>
    <xdr:from>
      <xdr:col>9</xdr:col>
      <xdr:colOff>622300</xdr:colOff>
      <xdr:row>15</xdr:row>
      <xdr:rowOff>171450</xdr:rowOff>
    </xdr:from>
    <xdr:to>
      <xdr:col>14</xdr:col>
      <xdr:colOff>450850</xdr:colOff>
      <xdr:row>18</xdr:row>
      <xdr:rowOff>63500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 txBox="1"/>
      </xdr:nvSpPr>
      <xdr:spPr>
        <a:xfrm>
          <a:off x="8902700" y="3213100"/>
          <a:ext cx="3130550" cy="482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oneCellAnchor>
    <xdr:from>
      <xdr:col>10</xdr:col>
      <xdr:colOff>155575</xdr:colOff>
      <xdr:row>16</xdr:row>
      <xdr:rowOff>44450</xdr:rowOff>
    </xdr:from>
    <xdr:ext cx="2794226" cy="32028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00000000-0008-0000-0600-00000C000000}"/>
                </a:ext>
              </a:extLst>
            </xdr:cNvPr>
            <xdr:cNvSpPr txBox="1"/>
          </xdr:nvSpPr>
          <xdr:spPr>
            <a:xfrm>
              <a:off x="9096375" y="3282950"/>
              <a:ext cx="2794226" cy="32028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𝐶𝑎𝑝𝐸𝑥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+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𝐶h𝑎𝑛𝑔𝑒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𝑖𝑛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𝑁𝑊𝐶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𝑁𝑒𝑡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𝐷𝑒𝑏𝑡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𝐼𝑠𝑠𝑢𝑒𝑑</m:t>
                        </m:r>
                      </m:num>
                      <m:den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𝑁𝑜𝑛𝐶𝑎𝑠h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𝑁𝐼</m:t>
                        </m:r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2" name="TextBox 11"/>
            <xdr:cNvSpPr txBox="1"/>
          </xdr:nvSpPr>
          <xdr:spPr>
            <a:xfrm>
              <a:off x="9096375" y="3282950"/>
              <a:ext cx="2794226" cy="32028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i="0">
                  <a:latin typeface="Cambria Math" panose="02040503050406030204" pitchFamily="18" charset="0"/>
                </a:rPr>
                <a:t>(</a:t>
              </a:r>
              <a:r>
                <a:rPr lang="en-US" sz="1100" b="0" i="0">
                  <a:latin typeface="Cambria Math" panose="02040503050406030204" pitchFamily="18" charset="0"/>
                </a:rPr>
                <a:t>𝐶𝑎𝑝𝐸𝑥+𝐶ℎ𝑎𝑛𝑔𝑒 𝑖𝑛 𝑁𝑊𝐶−𝑁𝑒𝑡 𝐷𝑒𝑏𝑡 𝐼𝑠𝑠𝑢𝑒𝑑)/(𝑁𝑜𝑛𝐶𝑎𝑠ℎ 𝑁𝐼)</a:t>
              </a:r>
              <a:endParaRPr lang="en-US" sz="1100"/>
            </a:p>
          </xdr:txBody>
        </xdr:sp>
      </mc:Fallback>
    </mc:AlternateContent>
    <xdr:clientData/>
  </xdr:oneCellAnchor>
  <xdr:twoCellAnchor>
    <xdr:from>
      <xdr:col>9</xdr:col>
      <xdr:colOff>12700</xdr:colOff>
      <xdr:row>14</xdr:row>
      <xdr:rowOff>101600</xdr:rowOff>
    </xdr:from>
    <xdr:to>
      <xdr:col>9</xdr:col>
      <xdr:colOff>603250</xdr:colOff>
      <xdr:row>16</xdr:row>
      <xdr:rowOff>139700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CxnSpPr/>
      </xdr:nvCxnSpPr>
      <xdr:spPr>
        <a:xfrm flipH="1" flipV="1">
          <a:off x="8293100" y="2946400"/>
          <a:ext cx="590550" cy="431800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25400</xdr:colOff>
      <xdr:row>15</xdr:row>
      <xdr:rowOff>101600</xdr:rowOff>
    </xdr:from>
    <xdr:to>
      <xdr:col>9</xdr:col>
      <xdr:colOff>654050</xdr:colOff>
      <xdr:row>19</xdr:row>
      <xdr:rowOff>158750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CxnSpPr/>
      </xdr:nvCxnSpPr>
      <xdr:spPr>
        <a:xfrm flipH="1" flipV="1">
          <a:off x="8305800" y="3143250"/>
          <a:ext cx="628650" cy="844550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647700</xdr:colOff>
      <xdr:row>18</xdr:row>
      <xdr:rowOff>184150</xdr:rowOff>
    </xdr:from>
    <xdr:to>
      <xdr:col>14</xdr:col>
      <xdr:colOff>266700</xdr:colOff>
      <xdr:row>20</xdr:row>
      <xdr:rowOff>133350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8" name="TextBox 17">
              <a:extLst>
                <a:ext uri="{FF2B5EF4-FFF2-40B4-BE49-F238E27FC236}">
                  <a16:creationId xmlns:a16="http://schemas.microsoft.com/office/drawing/2014/main" id="{00000000-0008-0000-0600-000012000000}"/>
                </a:ext>
              </a:extLst>
            </xdr:cNvPr>
            <xdr:cNvSpPr txBox="1"/>
          </xdr:nvSpPr>
          <xdr:spPr>
            <a:xfrm>
              <a:off x="8928100" y="3816350"/>
              <a:ext cx="2921000" cy="34290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𝐸𝑞𝑢𝑖𝑡𝑦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𝑅𝑒𝑖𝑛𝑣𝑒𝑠𝑡𝑚𝑒𝑛𝑡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𝑅𝑎𝑡𝑒</m:t>
                    </m:r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𝑁𝑜𝑛𝐶𝑎𝑠h</m:t>
                    </m:r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𝑅𝑂𝐸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8" name="TextBox 17"/>
            <xdr:cNvSpPr txBox="1"/>
          </xdr:nvSpPr>
          <xdr:spPr>
            <a:xfrm>
              <a:off x="8928100" y="3816350"/>
              <a:ext cx="2921000" cy="34290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𝐸𝑞𝑢𝑖𝑡𝑦 𝑅𝑒𝑖𝑛𝑣𝑒𝑠𝑡𝑚𝑒𝑛𝑡 𝑅𝑎𝑡𝑒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×𝑁𝑜𝑛𝐶𝑎𝑠ℎ 𝑅𝑂𝐸</a:t>
              </a:r>
              <a:endParaRPr lang="en-US" sz="1100"/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12700</xdr:colOff>
      <xdr:row>94</xdr:row>
      <xdr:rowOff>82550</xdr:rowOff>
    </xdr:from>
    <xdr:to>
      <xdr:col>8</xdr:col>
      <xdr:colOff>107950</xdr:colOff>
      <xdr:row>96</xdr:row>
      <xdr:rowOff>101600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pSpPr/>
      </xdr:nvGrpSpPr>
      <xdr:grpSpPr>
        <a:xfrm>
          <a:off x="5384800" y="18989675"/>
          <a:ext cx="3238500" cy="419100"/>
          <a:chOff x="4673600" y="19672300"/>
          <a:chExt cx="3130550" cy="412750"/>
        </a:xfrm>
      </xdr:grpSpPr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2" name="TextBox 1">
                <a:extLst>
                  <a:ext uri="{FF2B5EF4-FFF2-40B4-BE49-F238E27FC236}">
                    <a16:creationId xmlns:a16="http://schemas.microsoft.com/office/drawing/2014/main" id="{00000000-0008-0000-0700-000002000000}"/>
                  </a:ext>
                </a:extLst>
              </xdr:cNvPr>
              <xdr:cNvSpPr txBox="1"/>
            </xdr:nvSpPr>
            <xdr:spPr>
              <a:xfrm>
                <a:off x="5575300" y="19672300"/>
                <a:ext cx="2228850" cy="412750"/>
              </a:xfrm>
              <a:prstGeom prst="rect">
                <a:avLst/>
              </a:prstGeom>
              <a:noFill/>
              <a:ln w="9525" cmpd="sng">
                <a:solidFill>
                  <a:schemeClr val="lt1">
                    <a:shade val="50000"/>
                  </a:schemeClr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sSub>
                        <m:sSubPr>
                          <m:ctrlPr>
                            <a:rPr lang="en-US" sz="1100" i="1"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US" sz="11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𝑁𝐹𝐶𝐹𝐹</m:t>
                          </m:r>
                        </m:e>
                        <m:sub>
                          <m:r>
                            <a:rPr lang="en-US" sz="1100" b="0" i="1">
                              <a:latin typeface="Cambria Math" panose="02040503050406030204" pitchFamily="18" charset="0"/>
                            </a:rPr>
                            <m:t>𝑡</m:t>
                          </m:r>
                        </m:sub>
                      </m:s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=</m:t>
                      </m:r>
                      <m:sSub>
                        <m:sSubPr>
                          <m:ctrlPr>
                            <a:rPr lang="en-US" sz="1100" b="0" i="1"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US" sz="1100" b="0" i="1">
                              <a:latin typeface="Cambria Math" panose="02040503050406030204" pitchFamily="18" charset="0"/>
                            </a:rPr>
                            <m:t>𝑁𝑂𝑃𝐿𝐴𝑇</m:t>
                          </m:r>
                        </m:e>
                        <m:sub>
                          <m:r>
                            <a:rPr lang="en-US" sz="1100" b="0" i="1">
                              <a:latin typeface="Cambria Math" panose="02040503050406030204" pitchFamily="18" charset="0"/>
                            </a:rPr>
                            <m:t>𝑡</m:t>
                          </m:r>
                        </m:sub>
                      </m:sSub>
                      <m:r>
                        <a:rPr lang="en-US" sz="11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×</m:t>
                      </m:r>
                      <m:d>
                        <m:dPr>
                          <m:ctrlPr>
                            <a:rPr lang="en-US" sz="11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</m:ctrlPr>
                        </m:dPr>
                        <m:e>
                          <m:r>
                            <a:rPr lang="en-US" sz="11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1−</m:t>
                          </m:r>
                          <m:f>
                            <m:fPr>
                              <m:ctrlP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</m:ctrlPr>
                            </m:fPr>
                            <m:num>
                              <m:sSub>
                                <m:sSubPr>
                                  <m:ctrlPr>
                                    <a:rPr lang="en-US" sz="1100" b="0" i="1"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</a:rPr>
                                    <m:t>𝑔</m:t>
                                  </m:r>
                                </m:e>
                                <m:sub>
                                  <m:r>
                                    <a:rPr lang="en-US" sz="1100" b="0" i="1"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</a:rPr>
                                    <m:t>𝑠</m:t>
                                  </m:r>
                                </m:sub>
                              </m:sSub>
                            </m:num>
                            <m:den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𝑅𝑂𝐼𝐶</m:t>
                              </m:r>
                            </m:den>
                          </m:f>
                        </m:e>
                      </m:d>
                    </m:oMath>
                  </m:oMathPara>
                </a14:m>
                <a:endParaRPr lang="en-US" sz="1100"/>
              </a:p>
            </xdr:txBody>
          </xdr:sp>
        </mc:Choice>
        <mc:Fallback xmlns="">
          <xdr:sp macro="" textlink="">
            <xdr:nvSpPr>
              <xdr:cNvPr id="2" name="TextBox 1">
                <a:extLst>
                  <a:ext uri="{FF2B5EF4-FFF2-40B4-BE49-F238E27FC236}">
                    <a16:creationId xmlns:a16="http://schemas.microsoft.com/office/drawing/2014/main" id="{00000000-0008-0000-0700-000002000000}"/>
                  </a:ext>
                </a:extLst>
              </xdr:cNvPr>
              <xdr:cNvSpPr txBox="1"/>
            </xdr:nvSpPr>
            <xdr:spPr>
              <a:xfrm>
                <a:off x="5575300" y="19672300"/>
                <a:ext cx="2228850" cy="412750"/>
              </a:xfrm>
              <a:prstGeom prst="rect">
                <a:avLst/>
              </a:prstGeom>
              <a:noFill/>
              <a:ln w="9525" cmpd="sng">
                <a:solidFill>
                  <a:schemeClr val="lt1">
                    <a:shade val="50000"/>
                  </a:schemeClr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/>
                <a:r>
                  <a:rPr lang="en-US" sz="1100" i="0">
                    <a:latin typeface="Cambria Math" panose="02040503050406030204" pitchFamily="18" charset="0"/>
                  </a:rPr>
                  <a:t>〖</a:t>
                </a:r>
                <a:r>
                  <a:rPr lang="en-US" sz="1100" b="0" i="0">
                    <a:solidFill>
                      <a:schemeClr val="dk1"/>
                    </a:solidFill>
                    <a:effectLst/>
                    <a:latin typeface="Cambria Math" panose="02040503050406030204" pitchFamily="18" charset="0"/>
                    <a:ea typeface="+mn-ea"/>
                    <a:cs typeface="+mn-cs"/>
                  </a:rPr>
                  <a:t>𝑁𝐹𝐶𝐹𝐹〗_</a:t>
                </a:r>
                <a:r>
                  <a:rPr lang="en-US" sz="1100" b="0" i="0">
                    <a:latin typeface="Cambria Math" panose="02040503050406030204" pitchFamily="18" charset="0"/>
                  </a:rPr>
                  <a:t>𝑡=〖𝑁𝑂𝑃𝐿𝐴𝑇〗_𝑡</a:t>
                </a:r>
                <a:r>
                  <a:rPr lang="en-US" sz="1100" b="0" i="0">
                    <a:latin typeface="Cambria Math" panose="02040503050406030204" pitchFamily="18" charset="0"/>
                    <a:ea typeface="Cambria Math" panose="02040503050406030204" pitchFamily="18" charset="0"/>
                  </a:rPr>
                  <a:t>×(1−𝑔_𝑠/𝑅𝑂𝐼𝐶)</a:t>
                </a:r>
                <a:endParaRPr lang="en-US" sz="1100"/>
              </a:p>
            </xdr:txBody>
          </xdr:sp>
        </mc:Fallback>
      </mc:AlternateContent>
      <xdr:cxnSp macro="">
        <xdr:nvCxnSpPr>
          <xdr:cNvPr id="4" name="Straight Arrow Connector 3">
            <a:extLst>
              <a:ext uri="{FF2B5EF4-FFF2-40B4-BE49-F238E27FC236}">
                <a16:creationId xmlns:a16="http://schemas.microsoft.com/office/drawing/2014/main" id="{00000000-0008-0000-0700-000004000000}"/>
              </a:ext>
            </a:extLst>
          </xdr:cNvPr>
          <xdr:cNvCxnSpPr>
            <a:stCxn id="2" idx="1"/>
          </xdr:cNvCxnSpPr>
        </xdr:nvCxnSpPr>
        <xdr:spPr>
          <a:xfrm flipH="1">
            <a:off x="4673600" y="19878675"/>
            <a:ext cx="901700" cy="9525"/>
          </a:xfrm>
          <a:prstGeom prst="straightConnector1">
            <a:avLst/>
          </a:prstGeom>
          <a:ln w="12700">
            <a:tailEnd type="triangle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8</xdr:col>
      <xdr:colOff>142240</xdr:colOff>
      <xdr:row>82</xdr:row>
      <xdr:rowOff>160020</xdr:rowOff>
    </xdr:from>
    <xdr:to>
      <xdr:col>10</xdr:col>
      <xdr:colOff>53340</xdr:colOff>
      <xdr:row>84</xdr:row>
      <xdr:rowOff>77470</xdr:rowOff>
    </xdr:to>
    <xdr:sp macro="" textlink="">
      <xdr:nvSpPr>
        <xdr:cNvPr id="7" name="Oval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8653780" y="16512540"/>
          <a:ext cx="1358900" cy="313690"/>
        </a:xfrm>
        <a:prstGeom prst="ellipse">
          <a:avLst/>
        </a:prstGeom>
        <a:noFill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279400</xdr:colOff>
      <xdr:row>80</xdr:row>
      <xdr:rowOff>146050</xdr:rowOff>
    </xdr:from>
    <xdr:to>
      <xdr:col>11</xdr:col>
      <xdr:colOff>615950</xdr:colOff>
      <xdr:row>83</xdr:row>
      <xdr:rowOff>44450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 txBox="1"/>
      </xdr:nvSpPr>
      <xdr:spPr>
        <a:xfrm>
          <a:off x="9601200" y="16192500"/>
          <a:ext cx="1924050" cy="4889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These have been normalized (see below)</a:t>
          </a:r>
        </a:p>
      </xdr:txBody>
    </xdr:sp>
    <xdr:clientData/>
  </xdr:twoCellAnchor>
  <xdr:twoCellAnchor>
    <xdr:from>
      <xdr:col>9</xdr:col>
      <xdr:colOff>578234</xdr:colOff>
      <xdr:row>81</xdr:row>
      <xdr:rowOff>194310</xdr:rowOff>
    </xdr:from>
    <xdr:to>
      <xdr:col>10</xdr:col>
      <xdr:colOff>279400</xdr:colOff>
      <xdr:row>83</xdr:row>
      <xdr:rowOff>7839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CxnSpPr>
          <a:stCxn id="8" idx="1"/>
          <a:endCxn id="7" idx="7"/>
        </xdr:cNvCxnSpPr>
      </xdr:nvCxnSpPr>
      <xdr:spPr>
        <a:xfrm flipH="1">
          <a:off x="9813674" y="16348710"/>
          <a:ext cx="425066" cy="209769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190500</xdr:colOff>
      <xdr:row>64</xdr:row>
      <xdr:rowOff>114300</xdr:rowOff>
    </xdr:from>
    <xdr:to>
      <xdr:col>10</xdr:col>
      <xdr:colOff>44450</xdr:colOff>
      <xdr:row>66</xdr:row>
      <xdr:rowOff>76200</xdr:rowOff>
    </xdr:to>
    <xdr:sp macro="" textlink="">
      <xdr:nvSpPr>
        <xdr:cNvPr id="9" name="Oval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/>
      </xdr:nvSpPr>
      <xdr:spPr>
        <a:xfrm>
          <a:off x="8788400" y="12998450"/>
          <a:ext cx="577850" cy="355600"/>
        </a:xfrm>
        <a:prstGeom prst="ellipse">
          <a:avLst/>
        </a:prstGeom>
        <a:noFill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349250</xdr:colOff>
      <xdr:row>62</xdr:row>
      <xdr:rowOff>50800</xdr:rowOff>
    </xdr:from>
    <xdr:to>
      <xdr:col>11</xdr:col>
      <xdr:colOff>596900</xdr:colOff>
      <xdr:row>63</xdr:row>
      <xdr:rowOff>190500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 txBox="1"/>
      </xdr:nvSpPr>
      <xdr:spPr>
        <a:xfrm>
          <a:off x="9671050" y="12541250"/>
          <a:ext cx="1835150" cy="3365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or FCFF</a:t>
          </a:r>
          <a:r>
            <a:rPr lang="en-US" sz="1100" baseline="0"/>
            <a:t> = NOPLAT *(1-K)</a:t>
          </a:r>
          <a:endParaRPr lang="en-US" sz="1100"/>
        </a:p>
      </xdr:txBody>
    </xdr:sp>
    <xdr:clientData/>
  </xdr:twoCellAnchor>
  <xdr:twoCellAnchor>
    <xdr:from>
      <xdr:col>9</xdr:col>
      <xdr:colOff>683726</xdr:colOff>
      <xdr:row>63</xdr:row>
      <xdr:rowOff>22225</xdr:rowOff>
    </xdr:from>
    <xdr:to>
      <xdr:col>10</xdr:col>
      <xdr:colOff>349250</xdr:colOff>
      <xdr:row>64</xdr:row>
      <xdr:rowOff>166376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CxnSpPr>
          <a:stCxn id="11" idx="1"/>
          <a:endCxn id="9" idx="7"/>
        </xdr:cNvCxnSpPr>
      </xdr:nvCxnSpPr>
      <xdr:spPr>
        <a:xfrm flipH="1">
          <a:off x="9281626" y="12709525"/>
          <a:ext cx="389424" cy="341001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55881</xdr:colOff>
      <xdr:row>89</xdr:row>
      <xdr:rowOff>63500</xdr:rowOff>
    </xdr:from>
    <xdr:to>
      <xdr:col>4</xdr:col>
      <xdr:colOff>234950</xdr:colOff>
      <xdr:row>91</xdr:row>
      <xdr:rowOff>133350</xdr:rowOff>
    </xdr:to>
    <xdr:sp macro="" textlink="">
      <xdr:nvSpPr>
        <xdr:cNvPr id="3" name="Right Brac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837431" y="17900650"/>
          <a:ext cx="179069" cy="463550"/>
        </a:xfrm>
        <a:prstGeom prst="rightBrace">
          <a:avLst/>
        </a:prstGeom>
        <a:ln w="12700"/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342900</xdr:colOff>
      <xdr:row>89</xdr:row>
      <xdr:rowOff>146050</xdr:rowOff>
    </xdr:from>
    <xdr:to>
      <xdr:col>6</xdr:col>
      <xdr:colOff>666750</xdr:colOff>
      <xdr:row>91</xdr:row>
      <xdr:rowOff>133350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 txBox="1"/>
      </xdr:nvSpPr>
      <xdr:spPr>
        <a:xfrm>
          <a:off x="5124450" y="17983200"/>
          <a:ext cx="1955800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Set in</a:t>
          </a:r>
          <a:r>
            <a:rPr lang="en-US" sz="1100" baseline="0"/>
            <a:t> Scenario Manager</a:t>
          </a:r>
          <a:endParaRPr lang="en-US" sz="1100"/>
        </a:p>
      </xdr:txBody>
    </xdr:sp>
    <xdr:clientData/>
  </xdr:twoCellAnchor>
  <xdr:twoCellAnchor>
    <xdr:from>
      <xdr:col>4</xdr:col>
      <xdr:colOff>25400</xdr:colOff>
      <xdr:row>95</xdr:row>
      <xdr:rowOff>92075</xdr:rowOff>
    </xdr:from>
    <xdr:to>
      <xdr:col>5</xdr:col>
      <xdr:colOff>9248</xdr:colOff>
      <xdr:row>97</xdr:row>
      <xdr:rowOff>101600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CxnSpPr>
          <a:stCxn id="2" idx="1"/>
        </xdr:cNvCxnSpPr>
      </xdr:nvCxnSpPr>
      <xdr:spPr>
        <a:xfrm flipH="1">
          <a:off x="4806950" y="19110325"/>
          <a:ext cx="910948" cy="403225"/>
        </a:xfrm>
        <a:prstGeom prst="straightConnector1">
          <a:avLst/>
        </a:prstGeom>
        <a:ln w="127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13" Type="http://schemas.openxmlformats.org/officeDocument/2006/relationships/ctrlProp" Target="../ctrlProps/ctrlProp24.xml"/><Relationship Id="rId3" Type="http://schemas.openxmlformats.org/officeDocument/2006/relationships/ctrlProp" Target="../ctrlProps/ctrlProp14.xml"/><Relationship Id="rId7" Type="http://schemas.openxmlformats.org/officeDocument/2006/relationships/ctrlProp" Target="../ctrlProps/ctrlProp18.xml"/><Relationship Id="rId12" Type="http://schemas.openxmlformats.org/officeDocument/2006/relationships/ctrlProp" Target="../ctrlProps/ctrlProp2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7.xml"/><Relationship Id="rId11" Type="http://schemas.openxmlformats.org/officeDocument/2006/relationships/ctrlProp" Target="../ctrlProps/ctrlProp22.xml"/><Relationship Id="rId5" Type="http://schemas.openxmlformats.org/officeDocument/2006/relationships/ctrlProp" Target="../ctrlProps/ctrlProp16.xml"/><Relationship Id="rId10" Type="http://schemas.openxmlformats.org/officeDocument/2006/relationships/ctrlProp" Target="../ctrlProps/ctrlProp21.xml"/><Relationship Id="rId4" Type="http://schemas.openxmlformats.org/officeDocument/2006/relationships/ctrlProp" Target="../ctrlProps/ctrlProp15.xml"/><Relationship Id="rId9" Type="http://schemas.openxmlformats.org/officeDocument/2006/relationships/ctrlProp" Target="../ctrlProps/ctrlProp20.xml"/><Relationship Id="rId14" Type="http://schemas.openxmlformats.org/officeDocument/2006/relationships/ctrlProp" Target="../ctrlProps/ctrlProp25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sControlPanel"/>
  <dimension ref="A1:N156"/>
  <sheetViews>
    <sheetView showGridLines="0" tabSelected="1" zoomScaleNormal="100" workbookViewId="0">
      <selection activeCell="I11" sqref="I11"/>
    </sheetView>
  </sheetViews>
  <sheetFormatPr defaultRowHeight="15.75" x14ac:dyDescent="0.25"/>
  <cols>
    <col min="1" max="1" width="2.625" customWidth="1"/>
    <col min="2" max="2" width="32.125" customWidth="1"/>
    <col min="3" max="3" width="7.875" style="22" customWidth="1"/>
    <col min="4" max="4" width="14.375" customWidth="1"/>
    <col min="6" max="6" width="24.5" customWidth="1"/>
    <col min="8" max="8" width="7.375" customWidth="1"/>
    <col min="9" max="9" width="20.875" customWidth="1"/>
    <col min="11" max="11" width="10.75" customWidth="1"/>
  </cols>
  <sheetData>
    <row r="1" spans="1:14" ht="23.25" thickBot="1" x14ac:dyDescent="0.35">
      <c r="A1" s="258" t="s">
        <v>283</v>
      </c>
      <c r="B1" s="255"/>
      <c r="C1" s="255"/>
      <c r="D1" s="255"/>
      <c r="E1" s="255"/>
      <c r="F1" s="255"/>
      <c r="G1" s="255"/>
      <c r="H1" s="255"/>
      <c r="I1" s="255"/>
      <c r="J1" s="255"/>
      <c r="K1" s="255"/>
      <c r="L1" s="255"/>
      <c r="M1" s="200"/>
      <c r="N1" s="200"/>
    </row>
    <row r="2" spans="1:14" x14ac:dyDescent="0.25">
      <c r="A2" s="255"/>
      <c r="B2" s="259" t="s">
        <v>277</v>
      </c>
      <c r="C2" s="260"/>
      <c r="D2" s="261"/>
      <c r="E2" s="255"/>
      <c r="F2" s="259" t="s">
        <v>284</v>
      </c>
      <c r="G2" s="262"/>
      <c r="H2" s="263"/>
      <c r="I2" s="259" t="str">
        <f>"Valuation as of:  " &amp; TEXT('FCFF-Valuation'!C6, "mmm dd, yyy")</f>
        <v>Valuation as of:  Jan 01, 2021</v>
      </c>
      <c r="J2" s="262"/>
      <c r="K2" s="261"/>
      <c r="L2" s="255"/>
    </row>
    <row r="3" spans="1:14" ht="14.1" customHeight="1" x14ac:dyDescent="0.25">
      <c r="A3" s="255"/>
      <c r="B3" s="264" t="s">
        <v>278</v>
      </c>
      <c r="C3" s="265"/>
      <c r="D3" s="266"/>
      <c r="E3" s="255"/>
      <c r="F3" s="264" t="s">
        <v>285</v>
      </c>
      <c r="G3" s="267">
        <v>2025</v>
      </c>
      <c r="H3" s="263"/>
      <c r="I3" s="268"/>
      <c r="J3" s="267"/>
      <c r="K3" s="266"/>
      <c r="L3" s="255"/>
    </row>
    <row r="4" spans="1:14" x14ac:dyDescent="0.25">
      <c r="A4" s="255"/>
      <c r="B4" s="268" t="s">
        <v>279</v>
      </c>
      <c r="C4" s="269">
        <f>(D4-20)/200</f>
        <v>0.03</v>
      </c>
      <c r="D4" s="270">
        <v>26</v>
      </c>
      <c r="E4" s="255"/>
      <c r="F4" s="268"/>
      <c r="G4" s="267"/>
      <c r="H4" s="268"/>
      <c r="I4" s="264" t="s">
        <v>373</v>
      </c>
      <c r="J4" s="267" t="str">
        <f>'FCFF-Valuation'!C108</f>
        <v>$mm</v>
      </c>
      <c r="K4" s="271">
        <f>'FCFF-Valuation'!D108</f>
        <v>1479.8022838130532</v>
      </c>
      <c r="L4" s="255"/>
    </row>
    <row r="5" spans="1:14" x14ac:dyDescent="0.25">
      <c r="A5" s="255"/>
      <c r="B5" s="268" t="s">
        <v>280</v>
      </c>
      <c r="C5" s="269">
        <f>(D5-20)/200</f>
        <v>0</v>
      </c>
      <c r="D5" s="270">
        <v>20</v>
      </c>
      <c r="E5" s="255"/>
      <c r="F5" s="268" t="s">
        <v>45</v>
      </c>
      <c r="G5" s="269">
        <f>INDEX(Ratios!$D$57:$M$65,MATCH('Control Panel'!F5,Ratios!$B$57:$B$65,0),MATCH('Control Panel'!$G$3,Ratios!$D$8:$M$8,0))</f>
        <v>0.1424214017018382</v>
      </c>
      <c r="H5" s="268"/>
      <c r="I5" s="268" t="s">
        <v>377</v>
      </c>
      <c r="J5" s="267" t="str">
        <f>'FCFF-Valuation'!C109</f>
        <v>$mm</v>
      </c>
      <c r="K5" s="272">
        <f>'FCFF-Valuation'!D109</f>
        <v>-89.7</v>
      </c>
      <c r="L5" s="255"/>
    </row>
    <row r="6" spans="1:14" x14ac:dyDescent="0.25">
      <c r="A6" s="255"/>
      <c r="B6" s="264" t="s">
        <v>281</v>
      </c>
      <c r="C6" s="273"/>
      <c r="D6" s="270"/>
      <c r="E6" s="255"/>
      <c r="F6" s="268" t="s">
        <v>46</v>
      </c>
      <c r="G6" s="269">
        <f>INDEX(Ratios!$D$57:$M$65,MATCH('Control Panel'!F6,Ratios!$B$57:$B$65,0),MATCH('Control Panel'!$G$3,Ratios!$D$8:$M$8,0))</f>
        <v>0.4803077159490407</v>
      </c>
      <c r="H6" s="268"/>
      <c r="I6" s="264" t="s">
        <v>329</v>
      </c>
      <c r="J6" s="267" t="str">
        <f>'FCFF-Valuation'!C110</f>
        <v>$mm</v>
      </c>
      <c r="K6" s="271">
        <f>'FCFF-Valuation'!D110</f>
        <v>1569.5022838130533</v>
      </c>
      <c r="L6" s="255"/>
      <c r="M6" s="203"/>
    </row>
    <row r="7" spans="1:14" x14ac:dyDescent="0.25">
      <c r="A7" s="255"/>
      <c r="B7" s="268" t="s">
        <v>279</v>
      </c>
      <c r="C7" s="269">
        <f>(D7-20)/200</f>
        <v>0.01</v>
      </c>
      <c r="D7" s="270">
        <v>22</v>
      </c>
      <c r="E7" s="255"/>
      <c r="F7" s="268" t="s">
        <v>47</v>
      </c>
      <c r="G7" s="269">
        <f>INDEX(Ratios!$D$57:$M$65,MATCH('Control Panel'!F7,Ratios!$B$57:$B$65,0),MATCH('Control Panel'!$G$3,Ratios!$D$8:$M$8,0))</f>
        <v>1.3245079338695993</v>
      </c>
      <c r="H7" s="268"/>
      <c r="I7" s="268" t="s">
        <v>191</v>
      </c>
      <c r="J7" s="267" t="str">
        <f>'FCFF-Valuation'!C111</f>
        <v>mm</v>
      </c>
      <c r="K7" s="272">
        <f>'FCFF-Valuation'!D111</f>
        <v>10</v>
      </c>
      <c r="L7" s="255"/>
    </row>
    <row r="8" spans="1:14" ht="16.5" thickBot="1" x14ac:dyDescent="0.3">
      <c r="A8" s="255"/>
      <c r="B8" s="268" t="s">
        <v>280</v>
      </c>
      <c r="C8" s="269">
        <f>(D8-20)/200</f>
        <v>0</v>
      </c>
      <c r="D8" s="270">
        <v>20</v>
      </c>
      <c r="E8" s="255"/>
      <c r="F8" s="268" t="s">
        <v>31</v>
      </c>
      <c r="G8" s="269">
        <f>INDEX(Ratios!$D$57:$M$65,MATCH('Control Panel'!F8,Ratios!$B$57:$B$65,0),MATCH('Control Panel'!$G$3,Ratios!$D$8:$M$8,0))</f>
        <v>9.0604419729599428E-2</v>
      </c>
      <c r="H8" s="268"/>
      <c r="I8" s="274" t="s">
        <v>378</v>
      </c>
      <c r="J8" s="275" t="str">
        <f>'FCFF-Valuation'!C112</f>
        <v>$</v>
      </c>
      <c r="K8" s="276">
        <f>'FCFF-Valuation'!D112</f>
        <v>156.95022838130532</v>
      </c>
      <c r="L8" s="255"/>
    </row>
    <row r="9" spans="1:14" x14ac:dyDescent="0.25">
      <c r="A9" s="255"/>
      <c r="B9" s="268"/>
      <c r="C9" s="267"/>
      <c r="D9" s="270"/>
      <c r="E9" s="255"/>
      <c r="F9" s="277" t="s">
        <v>395</v>
      </c>
      <c r="G9" s="269">
        <f>INDEX(Ratios!$D$57:$M$65,MATCH('Control Panel'!F9,Ratios!$B$57:$B$65,0),MATCH('Control Panel'!$G$3,Ratios!$D$8:$M$8,0))</f>
        <v>0.27777777777777779</v>
      </c>
      <c r="H9" s="268"/>
      <c r="I9" s="267"/>
      <c r="J9" s="267"/>
      <c r="K9" s="267"/>
      <c r="L9" s="255"/>
      <c r="M9" s="203"/>
    </row>
    <row r="10" spans="1:14" ht="16.5" thickBot="1" x14ac:dyDescent="0.3">
      <c r="A10" s="255"/>
      <c r="B10" s="268" t="s">
        <v>282</v>
      </c>
      <c r="C10" s="269">
        <f>(D10+20)/100</f>
        <v>0.36</v>
      </c>
      <c r="D10" s="270">
        <v>16</v>
      </c>
      <c r="E10" s="255"/>
      <c r="F10" s="278" t="s">
        <v>396</v>
      </c>
      <c r="G10" s="279">
        <f>INDEX(Ratios!$D$57:$M$65,MATCH('Control Panel'!F10,Ratios!$B$57:$B$65,0),MATCH('Control Panel'!$G$3,Ratios!$D$8:$M$8,0))</f>
        <v>9.7498032544259511E-2</v>
      </c>
      <c r="H10" s="268"/>
      <c r="I10" s="267"/>
      <c r="J10" s="267"/>
      <c r="K10" s="267"/>
      <c r="L10" s="255"/>
    </row>
    <row r="11" spans="1:14" s="22" customFormat="1" x14ac:dyDescent="0.25">
      <c r="A11" s="255"/>
      <c r="B11" s="268" t="s">
        <v>268</v>
      </c>
      <c r="C11" s="269">
        <f>D11/100</f>
        <v>0.53</v>
      </c>
      <c r="D11" s="270">
        <v>53</v>
      </c>
      <c r="E11" s="255"/>
      <c r="F11" s="255"/>
      <c r="G11" s="255"/>
      <c r="H11" s="267"/>
      <c r="I11" s="255"/>
      <c r="J11" s="255"/>
      <c r="K11" s="255"/>
      <c r="L11" s="255"/>
    </row>
    <row r="12" spans="1:14" x14ac:dyDescent="0.25">
      <c r="A12" s="255"/>
      <c r="B12" s="268"/>
      <c r="C12" s="267"/>
      <c r="D12" s="270"/>
      <c r="E12" s="255"/>
      <c r="F12" s="255"/>
      <c r="G12" s="255"/>
      <c r="H12" s="255"/>
      <c r="I12" s="255"/>
      <c r="J12" s="255"/>
      <c r="K12" s="255"/>
      <c r="L12" s="255"/>
    </row>
    <row r="13" spans="1:14" x14ac:dyDescent="0.25">
      <c r="A13" s="255"/>
      <c r="B13" s="268" t="s">
        <v>99</v>
      </c>
      <c r="C13" s="280">
        <f>D13</f>
        <v>60</v>
      </c>
      <c r="D13" s="270">
        <v>60</v>
      </c>
      <c r="E13" s="255"/>
      <c r="F13" s="255"/>
      <c r="G13" s="255"/>
      <c r="H13" s="255"/>
      <c r="I13" s="255"/>
      <c r="J13" s="255"/>
      <c r="K13" s="255"/>
      <c r="L13" s="255"/>
    </row>
    <row r="14" spans="1:14" x14ac:dyDescent="0.25">
      <c r="A14" s="255"/>
      <c r="B14" s="268" t="s">
        <v>102</v>
      </c>
      <c r="C14" s="267">
        <f>D14/10</f>
        <v>4.0999999999999996</v>
      </c>
      <c r="D14" s="270">
        <v>41</v>
      </c>
      <c r="E14" s="255"/>
      <c r="F14" s="255"/>
      <c r="G14" s="255"/>
      <c r="H14" s="255"/>
      <c r="I14" s="255"/>
      <c r="J14" s="255"/>
      <c r="K14" s="255"/>
      <c r="L14" s="255"/>
    </row>
    <row r="15" spans="1:14" x14ac:dyDescent="0.25">
      <c r="A15" s="255"/>
      <c r="B15" s="268" t="s">
        <v>119</v>
      </c>
      <c r="C15" s="281">
        <f>D15</f>
        <v>60</v>
      </c>
      <c r="D15" s="270">
        <v>60</v>
      </c>
      <c r="E15" s="255"/>
      <c r="F15" s="255"/>
      <c r="G15" s="255"/>
      <c r="H15" s="255"/>
      <c r="I15" s="255"/>
      <c r="J15" s="255"/>
      <c r="K15" s="255"/>
      <c r="L15" s="255"/>
    </row>
    <row r="16" spans="1:14" x14ac:dyDescent="0.25">
      <c r="A16" s="255"/>
      <c r="B16" s="282" t="s">
        <v>164</v>
      </c>
      <c r="C16" s="283">
        <f>D16/100</f>
        <v>0.08</v>
      </c>
      <c r="D16" s="270">
        <v>8</v>
      </c>
      <c r="E16" s="255"/>
      <c r="F16" s="255"/>
      <c r="G16" s="255"/>
      <c r="H16" s="255"/>
      <c r="I16" s="255"/>
      <c r="J16" s="255"/>
      <c r="K16" s="255"/>
      <c r="L16" s="255"/>
    </row>
    <row r="17" spans="1:12" x14ac:dyDescent="0.25">
      <c r="A17" s="255"/>
      <c r="B17" s="282" t="s">
        <v>272</v>
      </c>
      <c r="C17" s="283">
        <f>D17/100</f>
        <v>0.42</v>
      </c>
      <c r="D17" s="270">
        <v>42</v>
      </c>
      <c r="E17" s="255"/>
      <c r="F17" s="255"/>
      <c r="G17" s="255"/>
      <c r="H17" s="255"/>
      <c r="I17" s="255"/>
      <c r="J17" s="255"/>
      <c r="K17" s="255"/>
      <c r="L17" s="255"/>
    </row>
    <row r="18" spans="1:12" x14ac:dyDescent="0.25">
      <c r="A18" s="255"/>
      <c r="B18" s="268"/>
      <c r="C18" s="267"/>
      <c r="D18" s="266"/>
      <c r="E18" s="255"/>
      <c r="F18" s="255"/>
      <c r="G18" s="255"/>
      <c r="H18" s="255"/>
      <c r="I18" s="255"/>
      <c r="J18" s="255"/>
      <c r="K18" s="255"/>
      <c r="L18" s="255"/>
    </row>
    <row r="19" spans="1:12" x14ac:dyDescent="0.25">
      <c r="A19" s="255"/>
      <c r="B19" s="264" t="s">
        <v>399</v>
      </c>
      <c r="C19" s="267"/>
      <c r="D19" s="266"/>
      <c r="E19" s="255"/>
      <c r="F19" s="255"/>
      <c r="G19" s="255"/>
      <c r="H19" s="255"/>
      <c r="I19" s="255"/>
      <c r="J19" s="255"/>
      <c r="K19" s="255"/>
      <c r="L19" s="255"/>
    </row>
    <row r="20" spans="1:12" x14ac:dyDescent="0.25">
      <c r="A20" s="255"/>
      <c r="B20" s="268" t="s">
        <v>400</v>
      </c>
      <c r="C20" s="319">
        <v>0.09</v>
      </c>
      <c r="D20" s="266"/>
      <c r="E20" s="255"/>
      <c r="F20" s="255"/>
      <c r="G20" s="255"/>
      <c r="H20" s="255"/>
      <c r="I20" s="255"/>
      <c r="J20" s="255"/>
      <c r="K20" s="255"/>
      <c r="L20" s="255"/>
    </row>
    <row r="21" spans="1:12" x14ac:dyDescent="0.25">
      <c r="A21" s="255"/>
      <c r="B21" s="268" t="s">
        <v>397</v>
      </c>
      <c r="C21" s="319">
        <v>0.09</v>
      </c>
      <c r="D21" s="266"/>
      <c r="E21" s="255"/>
      <c r="F21" s="255"/>
      <c r="G21" s="255"/>
      <c r="H21" s="255"/>
      <c r="I21" s="255"/>
      <c r="J21" s="255"/>
      <c r="K21" s="255"/>
      <c r="L21" s="255"/>
    </row>
    <row r="22" spans="1:12" ht="16.5" thickBot="1" x14ac:dyDescent="0.3">
      <c r="A22" s="255"/>
      <c r="B22" s="284" t="s">
        <v>398</v>
      </c>
      <c r="C22" s="320">
        <v>2.5000000000000001E-2</v>
      </c>
      <c r="D22" s="285"/>
      <c r="E22" s="255"/>
      <c r="F22" s="255"/>
      <c r="G22" s="255"/>
      <c r="H22" s="255"/>
      <c r="I22" s="255"/>
      <c r="J22" s="255"/>
      <c r="K22" s="255"/>
      <c r="L22" s="255"/>
    </row>
    <row r="23" spans="1:12" x14ac:dyDescent="0.25">
      <c r="A23" s="255"/>
      <c r="B23" s="255"/>
      <c r="C23" s="255"/>
      <c r="D23" s="255"/>
      <c r="E23" s="255"/>
      <c r="F23" s="255"/>
      <c r="G23" s="255"/>
      <c r="H23" s="255"/>
      <c r="I23" s="255"/>
      <c r="J23" s="255"/>
      <c r="K23" s="255"/>
      <c r="L23" s="255"/>
    </row>
    <row r="24" spans="1:12" x14ac:dyDescent="0.25">
      <c r="A24" s="255"/>
      <c r="B24" s="255"/>
      <c r="C24" s="255"/>
      <c r="D24" s="255"/>
      <c r="E24" s="255"/>
      <c r="F24" s="255"/>
      <c r="G24" s="255"/>
      <c r="H24" s="255"/>
      <c r="I24" s="255"/>
      <c r="J24" s="255"/>
      <c r="K24" s="255"/>
      <c r="L24" s="255"/>
    </row>
    <row r="25" spans="1:12" x14ac:dyDescent="0.25">
      <c r="A25" s="255"/>
      <c r="B25" s="255"/>
      <c r="C25" s="255"/>
      <c r="D25" s="255"/>
      <c r="E25" s="255"/>
      <c r="F25" s="255"/>
      <c r="G25" s="255"/>
      <c r="H25" s="255"/>
      <c r="I25" s="255"/>
      <c r="J25" s="255"/>
      <c r="K25" s="255"/>
      <c r="L25" s="255"/>
    </row>
    <row r="26" spans="1:12" x14ac:dyDescent="0.25">
      <c r="A26" s="255"/>
      <c r="B26" s="255"/>
      <c r="C26" s="255"/>
      <c r="D26" s="255"/>
      <c r="E26" s="255"/>
      <c r="F26" s="255"/>
      <c r="G26" s="255"/>
      <c r="H26" s="255"/>
      <c r="I26" s="255"/>
      <c r="J26" s="255"/>
      <c r="K26" s="255"/>
      <c r="L26" s="255"/>
    </row>
    <row r="27" spans="1:12" x14ac:dyDescent="0.25">
      <c r="A27" s="255"/>
      <c r="B27" s="255"/>
      <c r="C27" s="255"/>
      <c r="D27" s="255"/>
      <c r="E27" s="255"/>
      <c r="F27" s="255"/>
      <c r="G27" s="255"/>
      <c r="H27" s="255"/>
      <c r="I27" s="255"/>
      <c r="J27" s="255"/>
      <c r="K27" s="255"/>
      <c r="L27" s="255"/>
    </row>
    <row r="28" spans="1:12" x14ac:dyDescent="0.25">
      <c r="A28" s="255"/>
      <c r="B28" s="255"/>
      <c r="C28" s="255"/>
      <c r="D28" s="255"/>
      <c r="E28" s="255"/>
      <c r="F28" s="255"/>
      <c r="G28" s="255"/>
      <c r="H28" s="255"/>
      <c r="I28" s="255"/>
      <c r="J28" s="255"/>
      <c r="K28" s="255"/>
      <c r="L28" s="255"/>
    </row>
    <row r="29" spans="1:12" x14ac:dyDescent="0.25">
      <c r="A29" s="255"/>
      <c r="B29" s="255"/>
      <c r="C29" s="255"/>
      <c r="D29" s="255"/>
      <c r="E29" s="255"/>
      <c r="F29" s="255"/>
      <c r="G29" s="255"/>
      <c r="H29" s="255"/>
      <c r="I29" s="255"/>
      <c r="J29" s="255"/>
      <c r="K29" s="255"/>
      <c r="L29" s="255"/>
    </row>
    <row r="30" spans="1:12" x14ac:dyDescent="0.25">
      <c r="A30" s="255"/>
      <c r="B30" s="255"/>
      <c r="C30" s="255"/>
      <c r="D30" s="255"/>
      <c r="E30" s="255"/>
      <c r="F30" s="255"/>
      <c r="G30" s="255"/>
      <c r="H30" s="255"/>
      <c r="I30" s="255"/>
      <c r="J30" s="255"/>
      <c r="K30" s="255"/>
      <c r="L30" s="255"/>
    </row>
    <row r="31" spans="1:12" x14ac:dyDescent="0.25">
      <c r="A31" s="255"/>
      <c r="B31" s="255"/>
      <c r="C31" s="255"/>
      <c r="D31" s="255"/>
      <c r="E31" s="255"/>
      <c r="F31" s="255"/>
      <c r="G31" s="255"/>
      <c r="H31" s="255"/>
      <c r="I31" s="255"/>
      <c r="J31" s="255"/>
      <c r="K31" s="255"/>
      <c r="L31" s="255"/>
    </row>
    <row r="32" spans="1:12" x14ac:dyDescent="0.25">
      <c r="A32" s="255"/>
      <c r="B32" s="255"/>
      <c r="C32" s="255"/>
      <c r="D32" s="255"/>
      <c r="E32" s="255"/>
      <c r="F32" s="255"/>
      <c r="G32" s="255"/>
      <c r="H32" s="255"/>
      <c r="I32" s="255"/>
      <c r="J32" s="255"/>
      <c r="K32" s="255"/>
      <c r="L32" s="255"/>
    </row>
    <row r="33" spans="1:12" x14ac:dyDescent="0.25">
      <c r="A33" s="255"/>
      <c r="B33" s="255"/>
      <c r="C33" s="255"/>
      <c r="D33" s="255"/>
      <c r="E33" s="255"/>
      <c r="F33" s="255"/>
      <c r="G33" s="255"/>
      <c r="H33" s="255"/>
      <c r="I33" s="255"/>
      <c r="J33" s="255"/>
      <c r="K33" s="255"/>
      <c r="L33" s="255"/>
    </row>
    <row r="34" spans="1:12" x14ac:dyDescent="0.25">
      <c r="A34" s="255"/>
      <c r="B34" s="255"/>
      <c r="C34" s="255"/>
      <c r="D34" s="255"/>
      <c r="E34" s="255"/>
      <c r="F34" s="255"/>
      <c r="G34" s="255"/>
      <c r="H34" s="255"/>
      <c r="I34" s="255"/>
      <c r="J34" s="255"/>
      <c r="K34" s="255"/>
      <c r="L34" s="255"/>
    </row>
    <row r="35" spans="1:12" x14ac:dyDescent="0.25">
      <c r="A35" s="255"/>
      <c r="B35" s="255"/>
      <c r="C35" s="255"/>
      <c r="D35" s="255"/>
      <c r="E35" s="255"/>
      <c r="F35" s="255"/>
      <c r="G35" s="255"/>
      <c r="H35" s="255"/>
      <c r="I35" s="255"/>
      <c r="J35" s="255"/>
      <c r="K35" s="255"/>
      <c r="L35" s="255"/>
    </row>
    <row r="36" spans="1:12" x14ac:dyDescent="0.25">
      <c r="A36" s="255"/>
      <c r="B36" s="255"/>
      <c r="C36" s="255"/>
      <c r="D36" s="255"/>
      <c r="E36" s="255"/>
      <c r="F36" s="255"/>
      <c r="G36" s="255"/>
      <c r="H36" s="255"/>
      <c r="I36" s="255"/>
      <c r="J36" s="255"/>
      <c r="K36" s="255"/>
      <c r="L36" s="255"/>
    </row>
    <row r="37" spans="1:12" s="22" customFormat="1" x14ac:dyDescent="0.25">
      <c r="A37" s="255"/>
      <c r="B37" s="255"/>
      <c r="C37" s="255"/>
      <c r="D37" s="255"/>
      <c r="E37" s="255"/>
      <c r="F37" s="255"/>
      <c r="G37" s="255"/>
      <c r="H37" s="255"/>
      <c r="I37" s="255"/>
      <c r="J37" s="255"/>
      <c r="K37" s="255"/>
      <c r="L37" s="255"/>
    </row>
    <row r="38" spans="1:12" s="22" customFormat="1" x14ac:dyDescent="0.25">
      <c r="A38" s="255"/>
      <c r="B38" s="255"/>
      <c r="C38" s="255"/>
      <c r="D38" s="255"/>
      <c r="E38" s="255"/>
      <c r="F38" s="255"/>
      <c r="G38" s="255"/>
      <c r="H38" s="255"/>
      <c r="I38" s="255"/>
      <c r="J38" s="255"/>
      <c r="K38" s="255"/>
      <c r="L38" s="255"/>
    </row>
    <row r="39" spans="1:12" s="22" customFormat="1" x14ac:dyDescent="0.25">
      <c r="A39" s="255"/>
      <c r="B39" s="255"/>
      <c r="C39" s="255"/>
      <c r="D39" s="255"/>
      <c r="E39" s="255"/>
      <c r="F39" s="255"/>
      <c r="G39" s="255"/>
      <c r="H39" s="255"/>
      <c r="I39" s="255"/>
      <c r="J39" s="255"/>
      <c r="K39" s="255"/>
      <c r="L39" s="255"/>
    </row>
    <row r="40" spans="1:12" x14ac:dyDescent="0.25">
      <c r="A40" s="255"/>
      <c r="B40" s="255"/>
      <c r="C40" s="255"/>
      <c r="D40" s="255"/>
      <c r="E40" s="255"/>
      <c r="F40" s="255"/>
      <c r="G40" s="255"/>
      <c r="H40" s="255"/>
      <c r="I40" s="255"/>
      <c r="J40" s="255"/>
      <c r="K40" s="255"/>
      <c r="L40" s="255"/>
    </row>
    <row r="41" spans="1:12" x14ac:dyDescent="0.25">
      <c r="A41" s="2" t="s">
        <v>401</v>
      </c>
      <c r="D41" s="2" t="s">
        <v>282</v>
      </c>
    </row>
    <row r="42" spans="1:12" x14ac:dyDescent="0.25">
      <c r="C42" s="233">
        <f>'FCFF-Valuation'!D112</f>
        <v>156.95022838130532</v>
      </c>
      <c r="D42" s="218">
        <v>0.32</v>
      </c>
      <c r="E42" s="218">
        <v>0.33</v>
      </c>
      <c r="F42" s="218">
        <v>0.34</v>
      </c>
      <c r="G42" s="218">
        <v>0.35</v>
      </c>
      <c r="H42" s="232">
        <v>0.36</v>
      </c>
      <c r="I42" s="218">
        <v>0.37</v>
      </c>
      <c r="J42" s="218">
        <v>0.38</v>
      </c>
      <c r="K42" s="218">
        <v>0.39</v>
      </c>
      <c r="L42" s="218">
        <v>0.4</v>
      </c>
    </row>
    <row r="43" spans="1:12" x14ac:dyDescent="0.25">
      <c r="B43" s="2" t="s">
        <v>402</v>
      </c>
      <c r="C43" s="218">
        <v>-0.02</v>
      </c>
      <c r="D43" s="233">
        <f t="dataTable" ref="D43:L53" dt2D="1" dtr="1" r1="C10" r2="C4" ca="1"/>
        <v>113.44512162385381</v>
      </c>
      <c r="E43" s="233">
        <v>119.85587528975702</v>
      </c>
      <c r="F43" s="233">
        <v>126.26204693058853</v>
      </c>
      <c r="G43" s="233">
        <v>132.66109999203314</v>
      </c>
      <c r="H43" s="233">
        <v>139.05624621608999</v>
      </c>
      <c r="I43" s="233">
        <v>145.44748262313567</v>
      </c>
      <c r="J43" s="233">
        <v>151.8348062309172</v>
      </c>
      <c r="K43" s="233">
        <v>158.21821405455034</v>
      </c>
      <c r="L43" s="233">
        <v>164.59770310651695</v>
      </c>
    </row>
    <row r="44" spans="1:12" x14ac:dyDescent="0.25">
      <c r="C44" s="218">
        <v>-0.01</v>
      </c>
      <c r="D44" s="233">
        <v>115.9532358791721</v>
      </c>
      <c r="E44" s="233">
        <v>122.56229975287233</v>
      </c>
      <c r="F44" s="233">
        <v>129.16729764192831</v>
      </c>
      <c r="G44" s="233">
        <v>135.76822639103551</v>
      </c>
      <c r="H44" s="233">
        <v>142.36230384777124</v>
      </c>
      <c r="I44" s="233">
        <v>148.95113502224436</v>
      </c>
      <c r="J44" s="233">
        <v>155.53588952729854</v>
      </c>
      <c r="K44" s="233">
        <v>162.11656419825698</v>
      </c>
      <c r="L44" s="233">
        <v>168.69315586760106</v>
      </c>
    </row>
    <row r="45" spans="1:12" x14ac:dyDescent="0.25">
      <c r="C45" s="218">
        <v>0</v>
      </c>
      <c r="D45" s="233">
        <v>118.52213352788256</v>
      </c>
      <c r="E45" s="233">
        <v>125.38899735433918</v>
      </c>
      <c r="F45" s="233">
        <v>132.19965867043885</v>
      </c>
      <c r="G45" s="233">
        <v>139.00608038270337</v>
      </c>
      <c r="H45" s="233">
        <v>145.80825914308664</v>
      </c>
      <c r="I45" s="233">
        <v>152.60520119361775</v>
      </c>
      <c r="J45" s="233">
        <v>159.39487364564042</v>
      </c>
      <c r="K45" s="233">
        <v>166.18029507853589</v>
      </c>
      <c r="L45" s="233">
        <v>172.96146213404347</v>
      </c>
    </row>
    <row r="46" spans="1:12" x14ac:dyDescent="0.25">
      <c r="C46" s="218">
        <v>0.01</v>
      </c>
      <c r="D46" s="233">
        <v>121.16688771281012</v>
      </c>
      <c r="E46" s="233">
        <v>128.25470742702186</v>
      </c>
      <c r="F46" s="233">
        <v>135.33806570269593</v>
      </c>
      <c r="G46" s="233">
        <v>142.38369779164205</v>
      </c>
      <c r="H46" s="233">
        <v>149.39892470639012</v>
      </c>
      <c r="I46" s="233">
        <v>156.40972712200198</v>
      </c>
      <c r="J46" s="233">
        <v>163.41610148269919</v>
      </c>
      <c r="K46" s="233">
        <v>170.41476557112406</v>
      </c>
      <c r="L46" s="233">
        <v>177.40820344883997</v>
      </c>
    </row>
    <row r="47" spans="1:12" x14ac:dyDescent="0.25">
      <c r="C47" s="218">
        <v>0.02</v>
      </c>
      <c r="D47" s="233">
        <v>123.92922928240455</v>
      </c>
      <c r="E47" s="233">
        <v>131.23980011754261</v>
      </c>
      <c r="F47" s="233">
        <v>138.54572319499553</v>
      </c>
      <c r="G47" s="233">
        <v>145.84699471809463</v>
      </c>
      <c r="H47" s="233">
        <v>153.14187020167748</v>
      </c>
      <c r="I47" s="233">
        <v>160.37348898807056</v>
      </c>
      <c r="J47" s="233">
        <v>167.60049371535257</v>
      </c>
      <c r="K47" s="233">
        <v>174.82288061076287</v>
      </c>
      <c r="L47" s="233">
        <v>182.0390819284695</v>
      </c>
    </row>
    <row r="48" spans="1:12" x14ac:dyDescent="0.25">
      <c r="C48" s="232">
        <v>0.03</v>
      </c>
      <c r="D48" s="233">
        <v>126.81306184127007</v>
      </c>
      <c r="E48" s="233">
        <v>134.35462035905852</v>
      </c>
      <c r="F48" s="233">
        <v>141.89133697116364</v>
      </c>
      <c r="G48" s="233">
        <v>149.42320765430162</v>
      </c>
      <c r="H48" s="235">
        <v>156.95022838130532</v>
      </c>
      <c r="I48" s="233">
        <v>164.47239512112063</v>
      </c>
      <c r="J48" s="233">
        <v>171.95841003865306</v>
      </c>
      <c r="K48" s="233">
        <v>179.40940426624135</v>
      </c>
      <c r="L48" s="233">
        <v>186.85558257512074</v>
      </c>
    </row>
    <row r="49" spans="3:12" x14ac:dyDescent="0.25">
      <c r="C49" s="218">
        <v>0.04</v>
      </c>
      <c r="D49" s="233">
        <v>129.82237449033607</v>
      </c>
      <c r="E49" s="233">
        <v>137.6033957864384</v>
      </c>
      <c r="F49" s="233">
        <v>145.37937295024602</v>
      </c>
      <c r="G49" s="233">
        <v>153.1503017188904</v>
      </c>
      <c r="H49" s="233">
        <v>160.91617782531233</v>
      </c>
      <c r="I49" s="233">
        <v>168.67699699825866</v>
      </c>
      <c r="J49" s="233">
        <v>176.43275496227804</v>
      </c>
      <c r="K49" s="233">
        <v>184.18332453926797</v>
      </c>
      <c r="L49" s="233">
        <v>191.86630752303358</v>
      </c>
    </row>
    <row r="50" spans="3:12" x14ac:dyDescent="0.25">
      <c r="C50" s="218">
        <v>0.05</v>
      </c>
      <c r="D50" s="233">
        <v>132.96124269356238</v>
      </c>
      <c r="E50" s="233">
        <v>140.99044507625973</v>
      </c>
      <c r="F50" s="233">
        <v>149.01439276732302</v>
      </c>
      <c r="G50" s="233">
        <v>157.03308125071999</v>
      </c>
      <c r="H50" s="233">
        <v>165.04650600589719</v>
      </c>
      <c r="I50" s="233">
        <v>173.05466250777545</v>
      </c>
      <c r="J50" s="233">
        <v>181.05754622674647</v>
      </c>
      <c r="K50" s="233">
        <v>189.05515262866831</v>
      </c>
      <c r="L50" s="233">
        <v>197.04747717486177</v>
      </c>
    </row>
    <row r="51" spans="3:12" x14ac:dyDescent="0.25">
      <c r="C51" s="218">
        <v>0.06</v>
      </c>
      <c r="D51" s="233">
        <v>136.23382914166663</v>
      </c>
      <c r="E51" s="233">
        <v>144.5201788536304</v>
      </c>
      <c r="F51" s="233">
        <v>152.80105472343686</v>
      </c>
      <c r="G51" s="233">
        <v>161.0764519676836</v>
      </c>
      <c r="H51" s="233">
        <v>169.34636579809055</v>
      </c>
      <c r="I51" s="233">
        <v>177.61079142149606</v>
      </c>
      <c r="J51" s="233">
        <v>185.86972403985186</v>
      </c>
      <c r="K51" s="233">
        <v>194.12315885021891</v>
      </c>
      <c r="L51" s="233">
        <v>202.37109104476309</v>
      </c>
    </row>
    <row r="52" spans="3:12" x14ac:dyDescent="0.25">
      <c r="C52" s="218">
        <v>7.0000000000000007E-2</v>
      </c>
      <c r="D52" s="233">
        <v>139.64438461312466</v>
      </c>
      <c r="E52" s="233">
        <v>148.19710059612291</v>
      </c>
      <c r="F52" s="233">
        <v>156.74411473246906</v>
      </c>
      <c r="G52" s="233">
        <v>165.2854219565379</v>
      </c>
      <c r="H52" s="233">
        <v>173.82101719744372</v>
      </c>
      <c r="I52" s="233">
        <v>182.35089537903553</v>
      </c>
      <c r="J52" s="233">
        <v>190.87505141989132</v>
      </c>
      <c r="K52" s="233">
        <v>199.3934802333147</v>
      </c>
      <c r="L52" s="233">
        <v>207.90617672732841</v>
      </c>
    </row>
    <row r="53" spans="3:12" x14ac:dyDescent="0.25">
      <c r="C53" s="218">
        <v>0.08</v>
      </c>
      <c r="D53" s="233">
        <v>143.19724883270206</v>
      </c>
      <c r="E53" s="233">
        <v>152.02580753508897</v>
      </c>
      <c r="F53" s="233">
        <v>160.84842726524715</v>
      </c>
      <c r="G53" s="233">
        <v>169.66510265981174</v>
      </c>
      <c r="H53" s="233">
        <v>178.47582834974551</v>
      </c>
      <c r="I53" s="233">
        <v>187.28059896033338</v>
      </c>
      <c r="J53" s="233">
        <v>196.07940911117743</v>
      </c>
      <c r="K53" s="233">
        <v>204.87225341619083</v>
      </c>
      <c r="L53" s="233">
        <v>213.65912648359284</v>
      </c>
    </row>
    <row r="56" spans="3:12" x14ac:dyDescent="0.25">
      <c r="C56" s="218"/>
    </row>
    <row r="57" spans="3:12" x14ac:dyDescent="0.25">
      <c r="C57" s="218"/>
    </row>
    <row r="58" spans="3:12" x14ac:dyDescent="0.25">
      <c r="C58" s="218"/>
    </row>
    <row r="59" spans="3:12" x14ac:dyDescent="0.25">
      <c r="C59" s="218"/>
    </row>
    <row r="60" spans="3:12" x14ac:dyDescent="0.25">
      <c r="C60" s="218"/>
    </row>
    <row r="61" spans="3:12" x14ac:dyDescent="0.25">
      <c r="C61" s="218"/>
    </row>
    <row r="62" spans="3:12" x14ac:dyDescent="0.25">
      <c r="C62" s="218"/>
    </row>
    <row r="63" spans="3:12" x14ac:dyDescent="0.25">
      <c r="C63" s="218"/>
    </row>
    <row r="64" spans="3:12" x14ac:dyDescent="0.25">
      <c r="C64" s="218"/>
    </row>
    <row r="65" spans="3:3" x14ac:dyDescent="0.25">
      <c r="C65" s="218"/>
    </row>
    <row r="66" spans="3:3" x14ac:dyDescent="0.25">
      <c r="C66" s="218"/>
    </row>
    <row r="67" spans="3:3" x14ac:dyDescent="0.25">
      <c r="C67" s="218"/>
    </row>
    <row r="68" spans="3:3" x14ac:dyDescent="0.25">
      <c r="C68" s="218"/>
    </row>
    <row r="69" spans="3:3" x14ac:dyDescent="0.25">
      <c r="C69" s="218"/>
    </row>
    <row r="70" spans="3:3" x14ac:dyDescent="0.25">
      <c r="C70" s="218"/>
    </row>
    <row r="71" spans="3:3" x14ac:dyDescent="0.25">
      <c r="C71" s="218"/>
    </row>
    <row r="72" spans="3:3" x14ac:dyDescent="0.25">
      <c r="C72" s="218"/>
    </row>
    <row r="73" spans="3:3" x14ac:dyDescent="0.25">
      <c r="C73" s="218"/>
    </row>
    <row r="74" spans="3:3" x14ac:dyDescent="0.25">
      <c r="C74" s="218"/>
    </row>
    <row r="75" spans="3:3" x14ac:dyDescent="0.25">
      <c r="C75" s="218"/>
    </row>
    <row r="76" spans="3:3" x14ac:dyDescent="0.25">
      <c r="C76" s="218"/>
    </row>
    <row r="77" spans="3:3" x14ac:dyDescent="0.25">
      <c r="C77" s="218"/>
    </row>
    <row r="78" spans="3:3" x14ac:dyDescent="0.25">
      <c r="C78" s="218"/>
    </row>
    <row r="79" spans="3:3" x14ac:dyDescent="0.25">
      <c r="C79" s="218"/>
    </row>
    <row r="80" spans="3:3" x14ac:dyDescent="0.25">
      <c r="C80" s="218"/>
    </row>
    <row r="81" spans="3:3" x14ac:dyDescent="0.25">
      <c r="C81" s="218"/>
    </row>
    <row r="82" spans="3:3" x14ac:dyDescent="0.25">
      <c r="C82" s="218"/>
    </row>
    <row r="83" spans="3:3" x14ac:dyDescent="0.25">
      <c r="C83" s="218"/>
    </row>
    <row r="84" spans="3:3" x14ac:dyDescent="0.25">
      <c r="C84" s="218"/>
    </row>
    <row r="85" spans="3:3" x14ac:dyDescent="0.25">
      <c r="C85" s="218"/>
    </row>
    <row r="86" spans="3:3" x14ac:dyDescent="0.25">
      <c r="C86" s="218"/>
    </row>
    <row r="87" spans="3:3" x14ac:dyDescent="0.25">
      <c r="C87" s="218"/>
    </row>
    <row r="88" spans="3:3" x14ac:dyDescent="0.25">
      <c r="C88" s="218"/>
    </row>
    <row r="89" spans="3:3" x14ac:dyDescent="0.25">
      <c r="C89" s="218"/>
    </row>
    <row r="90" spans="3:3" x14ac:dyDescent="0.25">
      <c r="C90" s="218"/>
    </row>
    <row r="91" spans="3:3" x14ac:dyDescent="0.25">
      <c r="C91" s="218"/>
    </row>
    <row r="92" spans="3:3" x14ac:dyDescent="0.25">
      <c r="C92" s="218"/>
    </row>
    <row r="93" spans="3:3" x14ac:dyDescent="0.25">
      <c r="C93" s="218"/>
    </row>
    <row r="94" spans="3:3" x14ac:dyDescent="0.25">
      <c r="C94" s="218"/>
    </row>
    <row r="95" spans="3:3" x14ac:dyDescent="0.25">
      <c r="C95" s="218"/>
    </row>
    <row r="96" spans="3:3" x14ac:dyDescent="0.25">
      <c r="C96" s="218"/>
    </row>
    <row r="97" spans="3:3" x14ac:dyDescent="0.25">
      <c r="C97" s="218"/>
    </row>
    <row r="98" spans="3:3" x14ac:dyDescent="0.25">
      <c r="C98" s="218"/>
    </row>
    <row r="99" spans="3:3" x14ac:dyDescent="0.25">
      <c r="C99" s="218"/>
    </row>
    <row r="100" spans="3:3" x14ac:dyDescent="0.25">
      <c r="C100" s="218"/>
    </row>
    <row r="101" spans="3:3" x14ac:dyDescent="0.25">
      <c r="C101" s="218"/>
    </row>
    <row r="102" spans="3:3" x14ac:dyDescent="0.25">
      <c r="C102" s="218"/>
    </row>
    <row r="103" spans="3:3" x14ac:dyDescent="0.25">
      <c r="C103" s="218"/>
    </row>
    <row r="104" spans="3:3" x14ac:dyDescent="0.25">
      <c r="C104" s="218"/>
    </row>
    <row r="105" spans="3:3" x14ac:dyDescent="0.25">
      <c r="C105" s="218"/>
    </row>
    <row r="106" spans="3:3" x14ac:dyDescent="0.25">
      <c r="C106" s="218"/>
    </row>
    <row r="107" spans="3:3" x14ac:dyDescent="0.25">
      <c r="C107" s="218"/>
    </row>
    <row r="108" spans="3:3" x14ac:dyDescent="0.25">
      <c r="C108" s="218"/>
    </row>
    <row r="109" spans="3:3" x14ac:dyDescent="0.25">
      <c r="C109" s="218"/>
    </row>
    <row r="110" spans="3:3" x14ac:dyDescent="0.25">
      <c r="C110" s="218"/>
    </row>
    <row r="111" spans="3:3" x14ac:dyDescent="0.25">
      <c r="C111" s="218"/>
    </row>
    <row r="112" spans="3:3" x14ac:dyDescent="0.25">
      <c r="C112" s="218"/>
    </row>
    <row r="113" spans="3:3" x14ac:dyDescent="0.25">
      <c r="C113" s="218"/>
    </row>
    <row r="114" spans="3:3" x14ac:dyDescent="0.25">
      <c r="C114" s="218"/>
    </row>
    <row r="115" spans="3:3" x14ac:dyDescent="0.25">
      <c r="C115" s="218"/>
    </row>
    <row r="116" spans="3:3" x14ac:dyDescent="0.25">
      <c r="C116" s="218"/>
    </row>
    <row r="117" spans="3:3" x14ac:dyDescent="0.25">
      <c r="C117" s="218"/>
    </row>
    <row r="118" spans="3:3" x14ac:dyDescent="0.25">
      <c r="C118" s="218"/>
    </row>
    <row r="119" spans="3:3" x14ac:dyDescent="0.25">
      <c r="C119" s="218"/>
    </row>
    <row r="120" spans="3:3" x14ac:dyDescent="0.25">
      <c r="C120" s="218"/>
    </row>
    <row r="121" spans="3:3" x14ac:dyDescent="0.25">
      <c r="C121" s="218"/>
    </row>
    <row r="122" spans="3:3" x14ac:dyDescent="0.25">
      <c r="C122" s="218"/>
    </row>
    <row r="123" spans="3:3" x14ac:dyDescent="0.25">
      <c r="C123" s="218"/>
    </row>
    <row r="124" spans="3:3" x14ac:dyDescent="0.25">
      <c r="C124" s="218"/>
    </row>
    <row r="125" spans="3:3" x14ac:dyDescent="0.25">
      <c r="C125" s="218"/>
    </row>
    <row r="126" spans="3:3" x14ac:dyDescent="0.25">
      <c r="C126" s="218"/>
    </row>
    <row r="127" spans="3:3" x14ac:dyDescent="0.25">
      <c r="C127" s="218"/>
    </row>
    <row r="128" spans="3:3" x14ac:dyDescent="0.25">
      <c r="C128" s="218"/>
    </row>
    <row r="129" spans="3:3" x14ac:dyDescent="0.25">
      <c r="C129" s="218"/>
    </row>
    <row r="130" spans="3:3" x14ac:dyDescent="0.25">
      <c r="C130" s="218"/>
    </row>
    <row r="131" spans="3:3" x14ac:dyDescent="0.25">
      <c r="C131" s="218"/>
    </row>
    <row r="132" spans="3:3" x14ac:dyDescent="0.25">
      <c r="C132" s="218"/>
    </row>
    <row r="133" spans="3:3" x14ac:dyDescent="0.25">
      <c r="C133" s="218"/>
    </row>
    <row r="134" spans="3:3" x14ac:dyDescent="0.25">
      <c r="C134" s="218"/>
    </row>
    <row r="135" spans="3:3" x14ac:dyDescent="0.25">
      <c r="C135" s="218"/>
    </row>
    <row r="136" spans="3:3" x14ac:dyDescent="0.25">
      <c r="C136" s="218"/>
    </row>
    <row r="137" spans="3:3" x14ac:dyDescent="0.25">
      <c r="C137" s="218"/>
    </row>
    <row r="138" spans="3:3" x14ac:dyDescent="0.25">
      <c r="C138" s="218"/>
    </row>
    <row r="139" spans="3:3" x14ac:dyDescent="0.25">
      <c r="C139" s="218"/>
    </row>
    <row r="140" spans="3:3" x14ac:dyDescent="0.25">
      <c r="C140" s="218"/>
    </row>
    <row r="141" spans="3:3" x14ac:dyDescent="0.25">
      <c r="C141" s="218"/>
    </row>
    <row r="142" spans="3:3" x14ac:dyDescent="0.25">
      <c r="C142" s="218"/>
    </row>
    <row r="143" spans="3:3" x14ac:dyDescent="0.25">
      <c r="C143" s="218"/>
    </row>
    <row r="144" spans="3:3" x14ac:dyDescent="0.25">
      <c r="C144" s="218"/>
    </row>
    <row r="145" spans="3:3" x14ac:dyDescent="0.25">
      <c r="C145" s="218"/>
    </row>
    <row r="146" spans="3:3" x14ac:dyDescent="0.25">
      <c r="C146" s="218"/>
    </row>
    <row r="147" spans="3:3" x14ac:dyDescent="0.25">
      <c r="C147" s="218"/>
    </row>
    <row r="148" spans="3:3" x14ac:dyDescent="0.25">
      <c r="C148" s="218"/>
    </row>
    <row r="149" spans="3:3" x14ac:dyDescent="0.25">
      <c r="C149" s="218"/>
    </row>
    <row r="150" spans="3:3" x14ac:dyDescent="0.25">
      <c r="C150" s="218"/>
    </row>
    <row r="151" spans="3:3" x14ac:dyDescent="0.25">
      <c r="C151" s="218"/>
    </row>
    <row r="152" spans="3:3" x14ac:dyDescent="0.25">
      <c r="C152" s="218"/>
    </row>
    <row r="153" spans="3:3" x14ac:dyDescent="0.25">
      <c r="C153" s="218"/>
    </row>
    <row r="154" spans="3:3" x14ac:dyDescent="0.25">
      <c r="C154" s="218"/>
    </row>
    <row r="155" spans="3:3" x14ac:dyDescent="0.25">
      <c r="C155" s="218"/>
    </row>
    <row r="156" spans="3:3" x14ac:dyDescent="0.25">
      <c r="C156" s="218"/>
    </row>
  </sheetData>
  <conditionalFormatting sqref="G3">
    <cfRule type="expression" dxfId="2" priority="1">
      <formula>$G$3&lt;=2014</formula>
    </cfRule>
    <cfRule type="expression" dxfId="1" priority="2">
      <formula>$G$3&gt;=2015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3" name="Scroll Bar 6">
              <controlPr locked="0" defaultSize="0" autoPict="0">
                <anchor moveWithCells="1">
                  <from>
                    <xdr:col>3</xdr:col>
                    <xdr:colOff>9525</xdr:colOff>
                    <xdr:row>3</xdr:row>
                    <xdr:rowOff>9525</xdr:rowOff>
                  </from>
                  <to>
                    <xdr:col>3</xdr:col>
                    <xdr:colOff>1057275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4" name="Scroll Bar 7">
              <controlPr locked="0" defaultSize="0" autoPict="0">
                <anchor moveWithCells="1">
                  <from>
                    <xdr:col>3</xdr:col>
                    <xdr:colOff>9525</xdr:colOff>
                    <xdr:row>4</xdr:row>
                    <xdr:rowOff>9525</xdr:rowOff>
                  </from>
                  <to>
                    <xdr:col>3</xdr:col>
                    <xdr:colOff>1057275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5" name="Scroll Bar 8">
              <controlPr locked="0" defaultSize="0" autoPict="0">
                <anchor moveWithCells="1">
                  <from>
                    <xdr:col>3</xdr:col>
                    <xdr:colOff>9525</xdr:colOff>
                    <xdr:row>6</xdr:row>
                    <xdr:rowOff>9525</xdr:rowOff>
                  </from>
                  <to>
                    <xdr:col>3</xdr:col>
                    <xdr:colOff>1057275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6" name="Scroll Bar 9">
              <controlPr locked="0" defaultSize="0" autoPict="0">
                <anchor moveWithCells="1">
                  <from>
                    <xdr:col>3</xdr:col>
                    <xdr:colOff>9525</xdr:colOff>
                    <xdr:row>7</xdr:row>
                    <xdr:rowOff>9525</xdr:rowOff>
                  </from>
                  <to>
                    <xdr:col>3</xdr:col>
                    <xdr:colOff>1057275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" name="Scroll Bar 10">
              <controlPr locked="0" defaultSize="0" autoPict="0">
                <anchor moveWithCells="1">
                  <from>
                    <xdr:col>3</xdr:col>
                    <xdr:colOff>9525</xdr:colOff>
                    <xdr:row>12</xdr:row>
                    <xdr:rowOff>9525</xdr:rowOff>
                  </from>
                  <to>
                    <xdr:col>3</xdr:col>
                    <xdr:colOff>1057275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Scroll Bar 11">
              <controlPr locked="0" defaultSize="0" autoPict="0">
                <anchor moveWithCells="1">
                  <from>
                    <xdr:col>3</xdr:col>
                    <xdr:colOff>9525</xdr:colOff>
                    <xdr:row>13</xdr:row>
                    <xdr:rowOff>9525</xdr:rowOff>
                  </from>
                  <to>
                    <xdr:col>3</xdr:col>
                    <xdr:colOff>1057275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9" name="Scroll Bar 12">
              <controlPr locked="0" defaultSize="0" autoPict="0">
                <anchor moveWithCells="1">
                  <from>
                    <xdr:col>3</xdr:col>
                    <xdr:colOff>9525</xdr:colOff>
                    <xdr:row>14</xdr:row>
                    <xdr:rowOff>9525</xdr:rowOff>
                  </from>
                  <to>
                    <xdr:col>3</xdr:col>
                    <xdr:colOff>1057275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0" name="Scroll Bar 13">
              <controlPr locked="0" defaultSize="0" autoPict="0">
                <anchor moveWithCells="1">
                  <from>
                    <xdr:col>3</xdr:col>
                    <xdr:colOff>9525</xdr:colOff>
                    <xdr:row>15</xdr:row>
                    <xdr:rowOff>9525</xdr:rowOff>
                  </from>
                  <to>
                    <xdr:col>3</xdr:col>
                    <xdr:colOff>1057275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1" name="Scroll Bar 14">
              <controlPr locked="0" defaultSize="0" autoPict="0">
                <anchor moveWithCells="1">
                  <from>
                    <xdr:col>3</xdr:col>
                    <xdr:colOff>9525</xdr:colOff>
                    <xdr:row>16</xdr:row>
                    <xdr:rowOff>9525</xdr:rowOff>
                  </from>
                  <to>
                    <xdr:col>3</xdr:col>
                    <xdr:colOff>1057275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2" name="Scroll Bar 16">
              <controlPr locked="0" defaultSize="0" autoPict="0">
                <anchor moveWithCells="1">
                  <from>
                    <xdr:col>3</xdr:col>
                    <xdr:colOff>9525</xdr:colOff>
                    <xdr:row>9</xdr:row>
                    <xdr:rowOff>9525</xdr:rowOff>
                  </from>
                  <to>
                    <xdr:col>3</xdr:col>
                    <xdr:colOff>1057275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3" name="Scroll Bar 17">
              <controlPr locked="0" defaultSize="0" autoPict="0">
                <anchor moveWithCells="1">
                  <from>
                    <xdr:col>3</xdr:col>
                    <xdr:colOff>9525</xdr:colOff>
                    <xdr:row>10</xdr:row>
                    <xdr:rowOff>9525</xdr:rowOff>
                  </from>
                  <to>
                    <xdr:col>3</xdr:col>
                    <xdr:colOff>1057275</xdr:colOff>
                    <xdr:row>11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100-000000000000}">
          <x14:formula1>
            <xm:f>Assumptions!$D$9:$M$9</xm:f>
          </x14:formula1>
          <xm:sqref>G3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Summary"/>
  <dimension ref="A1:T128"/>
  <sheetViews>
    <sheetView workbookViewId="0">
      <selection activeCell="H25" sqref="H25:H26"/>
    </sheetView>
  </sheetViews>
  <sheetFormatPr defaultRowHeight="15.75" x14ac:dyDescent="0.25"/>
  <cols>
    <col min="1" max="1" width="22.875" customWidth="1"/>
    <col min="3" max="11" width="8.875" bestFit="1" customWidth="1"/>
  </cols>
  <sheetData>
    <row r="1" spans="1:20" s="22" customFormat="1" ht="21" x14ac:dyDescent="0.35">
      <c r="A1" s="234" t="s">
        <v>403</v>
      </c>
    </row>
    <row r="2" spans="1:20" x14ac:dyDescent="0.25">
      <c r="A2" s="22"/>
      <c r="B2" s="22"/>
      <c r="C2" s="2" t="s">
        <v>282</v>
      </c>
      <c r="D2" s="22"/>
      <c r="E2" s="22"/>
      <c r="F2" s="22"/>
      <c r="G2" s="22"/>
      <c r="H2" s="22"/>
      <c r="I2" s="22"/>
      <c r="J2" s="22"/>
      <c r="K2" s="22"/>
    </row>
    <row r="3" spans="1:20" x14ac:dyDescent="0.25">
      <c r="A3" s="22"/>
      <c r="B3" s="233"/>
      <c r="C3" s="232">
        <v>0.32</v>
      </c>
      <c r="D3" s="232">
        <v>0.33</v>
      </c>
      <c r="E3" s="232">
        <v>0.34</v>
      </c>
      <c r="F3" s="232">
        <v>0.35</v>
      </c>
      <c r="G3" s="232">
        <v>0.36</v>
      </c>
      <c r="H3" s="232">
        <v>0.37</v>
      </c>
      <c r="I3" s="232">
        <v>0.38</v>
      </c>
      <c r="J3" s="232">
        <v>0.39</v>
      </c>
      <c r="K3" s="232">
        <v>0.4</v>
      </c>
    </row>
    <row r="4" spans="1:20" x14ac:dyDescent="0.25">
      <c r="A4" s="2" t="s">
        <v>402</v>
      </c>
      <c r="B4" s="232">
        <v>-0.02</v>
      </c>
      <c r="C4" s="233">
        <v>113.44512162385381</v>
      </c>
      <c r="D4" s="233">
        <v>119.85587528975702</v>
      </c>
      <c r="E4" s="233">
        <v>126.26204693058853</v>
      </c>
      <c r="F4" s="233">
        <v>132.66109999203314</v>
      </c>
      <c r="G4" s="233">
        <v>139.05624621608999</v>
      </c>
      <c r="H4" s="233">
        <v>145.44748262313567</v>
      </c>
      <c r="I4" s="233">
        <v>151.8348062309172</v>
      </c>
      <c r="J4" s="233">
        <v>158.21821405455034</v>
      </c>
      <c r="K4" s="233">
        <v>164.59770310651695</v>
      </c>
      <c r="Q4" s="233"/>
      <c r="R4" s="233"/>
      <c r="S4" s="233"/>
      <c r="T4" s="233"/>
    </row>
    <row r="5" spans="1:20" x14ac:dyDescent="0.25">
      <c r="A5" s="22"/>
      <c r="B5" s="232">
        <v>-0.01</v>
      </c>
      <c r="C5" s="233">
        <v>115.9532358791721</v>
      </c>
      <c r="D5" s="233">
        <v>122.56229975287233</v>
      </c>
      <c r="E5" s="233">
        <v>129.16729764192831</v>
      </c>
      <c r="F5" s="233">
        <v>135.76822639103551</v>
      </c>
      <c r="G5" s="233">
        <v>142.36230384777124</v>
      </c>
      <c r="H5" s="233">
        <v>148.95113502224436</v>
      </c>
      <c r="I5" s="233">
        <v>155.53588952729854</v>
      </c>
      <c r="J5" s="233">
        <v>162.11656419825698</v>
      </c>
      <c r="K5" s="233">
        <v>168.69315586760106</v>
      </c>
      <c r="Q5" s="233"/>
      <c r="R5" s="233"/>
      <c r="S5" s="233"/>
      <c r="T5" s="233"/>
    </row>
    <row r="6" spans="1:20" x14ac:dyDescent="0.25">
      <c r="A6" s="22"/>
      <c r="B6" s="232">
        <v>0</v>
      </c>
      <c r="C6" s="233">
        <v>118.52213352788256</v>
      </c>
      <c r="D6" s="233">
        <v>125.38899735433918</v>
      </c>
      <c r="E6" s="233">
        <v>132.19965867043885</v>
      </c>
      <c r="F6" s="233">
        <v>139.00608038270337</v>
      </c>
      <c r="G6" s="233">
        <v>145.80825914308664</v>
      </c>
      <c r="H6" s="233">
        <v>152.60520119361775</v>
      </c>
      <c r="I6" s="233">
        <v>159.39487364564042</v>
      </c>
      <c r="J6" s="233">
        <v>166.18029507853589</v>
      </c>
      <c r="K6" s="233">
        <v>172.96146213404347</v>
      </c>
      <c r="Q6" s="233"/>
      <c r="R6" s="233"/>
      <c r="S6" s="233"/>
      <c r="T6" s="233"/>
    </row>
    <row r="7" spans="1:20" x14ac:dyDescent="0.25">
      <c r="A7" s="22"/>
      <c r="B7" s="232">
        <v>0.01</v>
      </c>
      <c r="C7" s="233">
        <v>121.16688771281012</v>
      </c>
      <c r="D7" s="233">
        <v>128.25470742702186</v>
      </c>
      <c r="E7" s="233">
        <v>135.33806570269593</v>
      </c>
      <c r="F7" s="233">
        <v>142.38369779164205</v>
      </c>
      <c r="G7" s="233">
        <v>149.39892470639012</v>
      </c>
      <c r="H7" s="233">
        <v>156.40972712200198</v>
      </c>
      <c r="I7" s="233">
        <v>163.41610148269919</v>
      </c>
      <c r="J7" s="233">
        <v>170.41476557112406</v>
      </c>
      <c r="K7" s="233">
        <v>177.40820344883997</v>
      </c>
      <c r="Q7" s="233"/>
      <c r="R7" s="233"/>
      <c r="S7" s="233"/>
      <c r="T7" s="233"/>
    </row>
    <row r="8" spans="1:20" x14ac:dyDescent="0.25">
      <c r="A8" s="22"/>
      <c r="B8" s="232">
        <v>0.02</v>
      </c>
      <c r="C8" s="233">
        <v>123.92922928240455</v>
      </c>
      <c r="D8" s="233">
        <v>131.23980011754261</v>
      </c>
      <c r="E8" s="233">
        <v>138.54572319499553</v>
      </c>
      <c r="F8" s="233">
        <v>145.84699471809463</v>
      </c>
      <c r="G8" s="233">
        <v>153.14187020167748</v>
      </c>
      <c r="H8" s="233">
        <v>160.37348898807056</v>
      </c>
      <c r="I8" s="233">
        <v>167.60049371535257</v>
      </c>
      <c r="J8" s="233">
        <v>174.82288061076287</v>
      </c>
      <c r="K8" s="233">
        <v>182.0390819284695</v>
      </c>
      <c r="Q8" s="233"/>
      <c r="R8" s="233"/>
      <c r="S8" s="233"/>
      <c r="T8" s="233"/>
    </row>
    <row r="9" spans="1:20" x14ac:dyDescent="0.25">
      <c r="A9" s="22"/>
      <c r="B9" s="232">
        <v>0.03</v>
      </c>
      <c r="C9" s="233">
        <v>126.81306184127007</v>
      </c>
      <c r="D9" s="233">
        <v>134.35462035905852</v>
      </c>
      <c r="E9" s="233">
        <v>141.89133697116364</v>
      </c>
      <c r="F9" s="233">
        <v>149.42320765430162</v>
      </c>
      <c r="G9" s="235">
        <v>156.95022838130532</v>
      </c>
      <c r="H9" s="233">
        <v>164.47239512112063</v>
      </c>
      <c r="I9" s="233">
        <v>171.95841003865306</v>
      </c>
      <c r="J9" s="233">
        <v>179.40940426624135</v>
      </c>
      <c r="K9" s="233">
        <v>186.85558257512074</v>
      </c>
      <c r="Q9" s="233"/>
      <c r="R9" s="233"/>
      <c r="S9" s="233"/>
      <c r="T9" s="233"/>
    </row>
    <row r="10" spans="1:20" x14ac:dyDescent="0.25">
      <c r="A10" s="22"/>
      <c r="B10" s="232">
        <v>0.04</v>
      </c>
      <c r="C10" s="233">
        <v>129.82237449033607</v>
      </c>
      <c r="D10" s="233">
        <v>137.6033957864384</v>
      </c>
      <c r="E10" s="233">
        <v>145.37937295024602</v>
      </c>
      <c r="F10" s="233">
        <v>153.1503017188904</v>
      </c>
      <c r="G10" s="233">
        <v>160.91617782531233</v>
      </c>
      <c r="H10" s="233">
        <v>168.67699699825866</v>
      </c>
      <c r="I10" s="233">
        <v>176.43275496227804</v>
      </c>
      <c r="J10" s="233">
        <v>184.18332453926797</v>
      </c>
      <c r="K10" s="233">
        <v>191.86630752303358</v>
      </c>
      <c r="Q10" s="233"/>
      <c r="R10" s="233"/>
      <c r="S10" s="233"/>
      <c r="T10" s="233"/>
    </row>
    <row r="11" spans="1:20" x14ac:dyDescent="0.25">
      <c r="A11" s="22"/>
      <c r="B11" s="232">
        <v>0.05</v>
      </c>
      <c r="C11" s="233">
        <v>132.96124269356238</v>
      </c>
      <c r="D11" s="233">
        <v>140.99044507625973</v>
      </c>
      <c r="E11" s="233">
        <v>149.01439276732302</v>
      </c>
      <c r="F11" s="233">
        <v>157.03308125071999</v>
      </c>
      <c r="G11" s="233">
        <v>165.04650600589719</v>
      </c>
      <c r="H11" s="233">
        <v>173.05466250777545</v>
      </c>
      <c r="I11" s="233">
        <v>181.05754622674647</v>
      </c>
      <c r="J11" s="233">
        <v>189.05515262866831</v>
      </c>
      <c r="K11" s="233">
        <v>197.04747717486177</v>
      </c>
      <c r="Q11" s="233"/>
      <c r="R11" s="233"/>
      <c r="S11" s="233"/>
      <c r="T11" s="233"/>
    </row>
    <row r="12" spans="1:20" x14ac:dyDescent="0.25">
      <c r="A12" s="22"/>
      <c r="B12" s="232">
        <v>0.06</v>
      </c>
      <c r="C12" s="233">
        <v>136.23382914166663</v>
      </c>
      <c r="D12" s="233">
        <v>144.5201788536304</v>
      </c>
      <c r="E12" s="233">
        <v>152.80105472343686</v>
      </c>
      <c r="F12" s="233">
        <v>161.0764519676836</v>
      </c>
      <c r="G12" s="233">
        <v>169.34636579809055</v>
      </c>
      <c r="H12" s="233">
        <v>177.61079142149606</v>
      </c>
      <c r="I12" s="233">
        <v>185.86972403985186</v>
      </c>
      <c r="J12" s="233">
        <v>194.12315885021891</v>
      </c>
      <c r="K12" s="233">
        <v>202.37109104476309</v>
      </c>
      <c r="Q12" s="233"/>
      <c r="R12" s="233"/>
      <c r="S12" s="233"/>
      <c r="T12" s="233"/>
    </row>
    <row r="13" spans="1:20" x14ac:dyDescent="0.25">
      <c r="A13" s="22"/>
      <c r="B13" s="232">
        <v>7.0000000000000007E-2</v>
      </c>
      <c r="C13" s="233">
        <v>139.64438461312466</v>
      </c>
      <c r="D13" s="233">
        <v>148.19710059612291</v>
      </c>
      <c r="E13" s="233">
        <v>156.74411473246906</v>
      </c>
      <c r="F13" s="233">
        <v>165.2854219565379</v>
      </c>
      <c r="G13" s="233">
        <v>173.82101719744372</v>
      </c>
      <c r="H13" s="233">
        <v>182.35089537903553</v>
      </c>
      <c r="I13" s="233">
        <v>190.87505141989132</v>
      </c>
      <c r="J13" s="233">
        <v>199.3934802333147</v>
      </c>
      <c r="K13" s="233">
        <v>207.90617672732841</v>
      </c>
      <c r="Q13" s="233"/>
      <c r="R13" s="233"/>
      <c r="S13" s="233"/>
      <c r="T13" s="233"/>
    </row>
    <row r="14" spans="1:20" x14ac:dyDescent="0.25">
      <c r="A14" s="22"/>
      <c r="B14" s="232">
        <v>0.08</v>
      </c>
      <c r="C14" s="233">
        <v>143.19724883270206</v>
      </c>
      <c r="D14" s="233">
        <v>152.02580753508897</v>
      </c>
      <c r="E14" s="233">
        <v>160.84842726524715</v>
      </c>
      <c r="F14" s="233">
        <v>169.66510265981174</v>
      </c>
      <c r="G14" s="233">
        <v>178.47582834974551</v>
      </c>
      <c r="H14" s="233">
        <v>187.28059896033338</v>
      </c>
      <c r="I14" s="233">
        <v>196.07940911117743</v>
      </c>
      <c r="J14" s="233">
        <v>204.87225341619083</v>
      </c>
      <c r="K14" s="233">
        <v>213.65912648359284</v>
      </c>
      <c r="Q14" s="233"/>
      <c r="R14" s="233"/>
      <c r="S14" s="233"/>
      <c r="T14" s="233"/>
    </row>
    <row r="15" spans="1:20" x14ac:dyDescent="0.25">
      <c r="H15" t="s">
        <v>412</v>
      </c>
      <c r="Q15" s="22"/>
      <c r="R15" s="22"/>
      <c r="S15" s="22"/>
      <c r="T15" s="22"/>
    </row>
    <row r="16" spans="1:20" x14ac:dyDescent="0.25">
      <c r="C16" s="2" t="s">
        <v>404</v>
      </c>
      <c r="Q16" s="22"/>
      <c r="R16" s="22"/>
      <c r="S16" s="22"/>
      <c r="T16" s="22"/>
    </row>
    <row r="17" spans="1:20" x14ac:dyDescent="0.25">
      <c r="A17" s="2" t="s">
        <v>405</v>
      </c>
      <c r="C17" s="310">
        <v>0</v>
      </c>
      <c r="D17" s="310">
        <v>5.0000000000000001E-3</v>
      </c>
      <c r="E17" s="310">
        <v>0.01</v>
      </c>
      <c r="F17" s="310">
        <v>1.4999999999999999E-2</v>
      </c>
      <c r="G17" s="310">
        <v>0.02</v>
      </c>
      <c r="H17" s="310">
        <v>2.5000000000000001E-2</v>
      </c>
      <c r="I17" s="310">
        <v>0.03</v>
      </c>
      <c r="J17" s="310">
        <v>3.5000000000000003E-2</v>
      </c>
      <c r="K17" s="310">
        <v>3.5000000000000003E-2</v>
      </c>
      <c r="Q17" s="22"/>
      <c r="R17" s="22"/>
      <c r="S17" s="22"/>
      <c r="T17" s="22"/>
    </row>
    <row r="18" spans="1:20" x14ac:dyDescent="0.25">
      <c r="B18" s="310">
        <v>0.08</v>
      </c>
      <c r="C18" s="155">
        <v>171.74700878165598</v>
      </c>
      <c r="D18" s="155">
        <v>172.81237697048121</v>
      </c>
      <c r="E18" s="155">
        <v>174.02994061485282</v>
      </c>
      <c r="F18" s="155">
        <v>175.43482174297412</v>
      </c>
      <c r="G18" s="155">
        <v>177.0738497257822</v>
      </c>
      <c r="H18" s="155">
        <v>179.01088279637352</v>
      </c>
      <c r="I18" s="155">
        <v>181.33532248108321</v>
      </c>
      <c r="J18" s="155">
        <v>184.1763043179505</v>
      </c>
      <c r="K18" s="155">
        <v>184.1763043179505</v>
      </c>
      <c r="Q18" s="22"/>
      <c r="R18" s="22"/>
      <c r="S18" s="22"/>
      <c r="T18" s="22"/>
    </row>
    <row r="19" spans="1:20" x14ac:dyDescent="0.25">
      <c r="B19" s="310">
        <v>8.5000000000000006E-2</v>
      </c>
      <c r="C19" s="155">
        <v>163.91341915794092</v>
      </c>
      <c r="D19" s="155">
        <v>164.38561053248151</v>
      </c>
      <c r="E19" s="155">
        <v>164.92076075696087</v>
      </c>
      <c r="F19" s="155">
        <v>165.53236101350871</v>
      </c>
      <c r="G19" s="155">
        <v>166.23805361721776</v>
      </c>
      <c r="H19" s="155">
        <v>167.06136165487825</v>
      </c>
      <c r="I19" s="155">
        <v>168.03436206302251</v>
      </c>
      <c r="J19" s="155">
        <v>169.20196255279564</v>
      </c>
      <c r="K19" s="155">
        <v>169.20196255279564</v>
      </c>
      <c r="Q19" s="22"/>
      <c r="R19" s="22"/>
      <c r="S19" s="22"/>
      <c r="T19" s="22"/>
    </row>
    <row r="20" spans="1:20" x14ac:dyDescent="0.25">
      <c r="B20" s="310">
        <v>0.09</v>
      </c>
      <c r="C20" s="207">
        <v>156.95022838130532</v>
      </c>
      <c r="D20" s="207">
        <v>156.95022838130532</v>
      </c>
      <c r="E20" s="207">
        <v>156.95022838130529</v>
      </c>
      <c r="F20" s="207">
        <v>156.95022838130535</v>
      </c>
      <c r="G20" s="207">
        <v>156.95022838130535</v>
      </c>
      <c r="H20" s="207">
        <v>156.95022838130532</v>
      </c>
      <c r="I20" s="207">
        <v>156.95022838130535</v>
      </c>
      <c r="J20" s="207">
        <v>156.95022838130532</v>
      </c>
      <c r="K20" s="207">
        <v>156.95022838130532</v>
      </c>
      <c r="Q20" s="22"/>
      <c r="R20" s="22"/>
      <c r="S20" s="22"/>
      <c r="T20" s="22"/>
    </row>
    <row r="21" spans="1:20" x14ac:dyDescent="0.25">
      <c r="B21" s="310">
        <v>9.5000000000000001E-2</v>
      </c>
      <c r="C21" s="155">
        <v>150.72000505484192</v>
      </c>
      <c r="D21" s="155">
        <v>150.34099980248209</v>
      </c>
      <c r="E21" s="155">
        <v>149.91740569690336</v>
      </c>
      <c r="F21" s="155">
        <v>149.44086232812742</v>
      </c>
      <c r="G21" s="155">
        <v>148.90077984351461</v>
      </c>
      <c r="H21" s="155">
        <v>148.28354271824284</v>
      </c>
      <c r="I21" s="155">
        <v>147.57134603523699</v>
      </c>
      <c r="J21" s="155">
        <v>146.74044990506343</v>
      </c>
      <c r="K21" s="155">
        <v>146.74044990506343</v>
      </c>
    </row>
    <row r="22" spans="1:20" x14ac:dyDescent="0.25">
      <c r="B22" s="310">
        <v>0.1</v>
      </c>
      <c r="C22" s="155">
        <v>145.11280406102486</v>
      </c>
      <c r="D22" s="155">
        <v>144.42747949511389</v>
      </c>
      <c r="E22" s="155">
        <v>143.66600775521277</v>
      </c>
      <c r="F22" s="155">
        <v>142.81495110473514</v>
      </c>
      <c r="G22" s="155">
        <v>141.85751237294772</v>
      </c>
      <c r="H22" s="155">
        <v>140.77241514358866</v>
      </c>
      <c r="I22" s="155">
        <v>139.53230402432121</v>
      </c>
      <c r="J22" s="155">
        <v>138.10140657901258</v>
      </c>
      <c r="K22" s="155">
        <v>138.10140657901258</v>
      </c>
    </row>
    <row r="23" spans="1:20" x14ac:dyDescent="0.25">
      <c r="B23" s="310">
        <v>0.105</v>
      </c>
      <c r="C23" s="155">
        <v>140.03962220947608</v>
      </c>
      <c r="D23" s="155">
        <v>139.10531121848251</v>
      </c>
      <c r="E23" s="155">
        <v>138.07265170212119</v>
      </c>
      <c r="F23" s="155">
        <v>136.92525223949752</v>
      </c>
      <c r="G23" s="155">
        <v>135.64286460480051</v>
      </c>
      <c r="H23" s="155">
        <v>134.20017851576628</v>
      </c>
      <c r="I23" s="155">
        <v>132.56513428152758</v>
      </c>
      <c r="J23" s="155">
        <v>130.69651229954042</v>
      </c>
      <c r="K23" s="155">
        <v>130.69651229954042</v>
      </c>
    </row>
    <row r="24" spans="1:20" x14ac:dyDescent="0.25">
      <c r="B24" s="310">
        <v>0.11</v>
      </c>
      <c r="C24" s="155">
        <v>135.42763870806809</v>
      </c>
      <c r="D24" s="155">
        <v>134.29001611105411</v>
      </c>
      <c r="E24" s="155">
        <v>133.03863125433872</v>
      </c>
      <c r="F24" s="155">
        <v>131.65552167586389</v>
      </c>
      <c r="G24" s="155">
        <v>130.11873325533628</v>
      </c>
      <c r="H24" s="155">
        <v>128.40114619709948</v>
      </c>
      <c r="I24" s="155">
        <v>126.46886075658308</v>
      </c>
      <c r="J24" s="155">
        <v>124.27893725733122</v>
      </c>
      <c r="K24" s="155">
        <v>124.27893725733122</v>
      </c>
    </row>
    <row r="26" spans="1:20" x14ac:dyDescent="0.25">
      <c r="A26" s="2"/>
    </row>
    <row r="28" spans="1:20" x14ac:dyDescent="0.25">
      <c r="B28" s="218"/>
    </row>
    <row r="29" spans="1:20" x14ac:dyDescent="0.25">
      <c r="B29" s="218"/>
    </row>
    <row r="30" spans="1:20" x14ac:dyDescent="0.25">
      <c r="B30" s="218"/>
    </row>
    <row r="31" spans="1:20" x14ac:dyDescent="0.25">
      <c r="B31" s="218"/>
    </row>
    <row r="32" spans="1:20" x14ac:dyDescent="0.25">
      <c r="B32" s="218"/>
    </row>
    <row r="33" spans="2:2" x14ac:dyDescent="0.25">
      <c r="B33" s="218"/>
    </row>
    <row r="34" spans="2:2" x14ac:dyDescent="0.25">
      <c r="B34" s="218"/>
    </row>
    <row r="35" spans="2:2" x14ac:dyDescent="0.25">
      <c r="B35" s="218"/>
    </row>
    <row r="36" spans="2:2" x14ac:dyDescent="0.25">
      <c r="B36" s="218"/>
    </row>
    <row r="37" spans="2:2" x14ac:dyDescent="0.25">
      <c r="B37" s="218"/>
    </row>
    <row r="38" spans="2:2" x14ac:dyDescent="0.25">
      <c r="B38" s="218"/>
    </row>
    <row r="39" spans="2:2" x14ac:dyDescent="0.25">
      <c r="B39" s="218"/>
    </row>
    <row r="40" spans="2:2" x14ac:dyDescent="0.25">
      <c r="B40" s="218"/>
    </row>
    <row r="41" spans="2:2" x14ac:dyDescent="0.25">
      <c r="B41" s="218"/>
    </row>
    <row r="42" spans="2:2" x14ac:dyDescent="0.25">
      <c r="B42" s="218"/>
    </row>
    <row r="43" spans="2:2" x14ac:dyDescent="0.25">
      <c r="B43" s="218"/>
    </row>
    <row r="44" spans="2:2" x14ac:dyDescent="0.25">
      <c r="B44" s="218"/>
    </row>
    <row r="45" spans="2:2" x14ac:dyDescent="0.25">
      <c r="B45" s="218"/>
    </row>
    <row r="46" spans="2:2" x14ac:dyDescent="0.25">
      <c r="B46" s="218"/>
    </row>
    <row r="47" spans="2:2" x14ac:dyDescent="0.25">
      <c r="B47" s="218"/>
    </row>
    <row r="48" spans="2:2" x14ac:dyDescent="0.25">
      <c r="B48" s="218"/>
    </row>
    <row r="49" spans="2:2" x14ac:dyDescent="0.25">
      <c r="B49" s="218"/>
    </row>
    <row r="50" spans="2:2" x14ac:dyDescent="0.25">
      <c r="B50" s="218"/>
    </row>
    <row r="51" spans="2:2" x14ac:dyDescent="0.25">
      <c r="B51" s="218"/>
    </row>
    <row r="52" spans="2:2" x14ac:dyDescent="0.25">
      <c r="B52" s="218"/>
    </row>
    <row r="53" spans="2:2" x14ac:dyDescent="0.25">
      <c r="B53" s="218"/>
    </row>
    <row r="54" spans="2:2" x14ac:dyDescent="0.25">
      <c r="B54" s="218"/>
    </row>
    <row r="55" spans="2:2" x14ac:dyDescent="0.25">
      <c r="B55" s="218"/>
    </row>
    <row r="56" spans="2:2" x14ac:dyDescent="0.25">
      <c r="B56" s="218"/>
    </row>
    <row r="57" spans="2:2" x14ac:dyDescent="0.25">
      <c r="B57" s="218"/>
    </row>
    <row r="58" spans="2:2" x14ac:dyDescent="0.25">
      <c r="B58" s="218"/>
    </row>
    <row r="59" spans="2:2" x14ac:dyDescent="0.25">
      <c r="B59" s="218"/>
    </row>
    <row r="60" spans="2:2" x14ac:dyDescent="0.25">
      <c r="B60" s="218"/>
    </row>
    <row r="61" spans="2:2" x14ac:dyDescent="0.25">
      <c r="B61" s="218"/>
    </row>
    <row r="62" spans="2:2" x14ac:dyDescent="0.25">
      <c r="B62" s="218"/>
    </row>
    <row r="63" spans="2:2" x14ac:dyDescent="0.25">
      <c r="B63" s="218"/>
    </row>
    <row r="64" spans="2:2" x14ac:dyDescent="0.25">
      <c r="B64" s="218"/>
    </row>
    <row r="65" spans="2:2" x14ac:dyDescent="0.25">
      <c r="B65" s="218"/>
    </row>
    <row r="66" spans="2:2" x14ac:dyDescent="0.25">
      <c r="B66" s="218"/>
    </row>
    <row r="67" spans="2:2" x14ac:dyDescent="0.25">
      <c r="B67" s="218"/>
    </row>
    <row r="68" spans="2:2" x14ac:dyDescent="0.25">
      <c r="B68" s="218"/>
    </row>
    <row r="69" spans="2:2" x14ac:dyDescent="0.25">
      <c r="B69" s="218"/>
    </row>
    <row r="70" spans="2:2" x14ac:dyDescent="0.25">
      <c r="B70" s="218"/>
    </row>
    <row r="71" spans="2:2" x14ac:dyDescent="0.25">
      <c r="B71" s="218"/>
    </row>
    <row r="72" spans="2:2" x14ac:dyDescent="0.25">
      <c r="B72" s="218"/>
    </row>
    <row r="73" spans="2:2" x14ac:dyDescent="0.25">
      <c r="B73" s="218"/>
    </row>
    <row r="74" spans="2:2" x14ac:dyDescent="0.25">
      <c r="B74" s="218"/>
    </row>
    <row r="75" spans="2:2" x14ac:dyDescent="0.25">
      <c r="B75" s="218"/>
    </row>
    <row r="76" spans="2:2" x14ac:dyDescent="0.25">
      <c r="B76" s="218"/>
    </row>
    <row r="77" spans="2:2" x14ac:dyDescent="0.25">
      <c r="B77" s="218"/>
    </row>
    <row r="78" spans="2:2" x14ac:dyDescent="0.25">
      <c r="B78" s="218"/>
    </row>
    <row r="79" spans="2:2" x14ac:dyDescent="0.25">
      <c r="B79" s="218"/>
    </row>
    <row r="80" spans="2:2" x14ac:dyDescent="0.25">
      <c r="B80" s="218"/>
    </row>
    <row r="81" spans="2:2" x14ac:dyDescent="0.25">
      <c r="B81" s="218"/>
    </row>
    <row r="82" spans="2:2" x14ac:dyDescent="0.25">
      <c r="B82" s="218"/>
    </row>
    <row r="83" spans="2:2" x14ac:dyDescent="0.25">
      <c r="B83" s="218"/>
    </row>
    <row r="84" spans="2:2" x14ac:dyDescent="0.25">
      <c r="B84" s="218"/>
    </row>
    <row r="85" spans="2:2" x14ac:dyDescent="0.25">
      <c r="B85" s="218"/>
    </row>
    <row r="86" spans="2:2" x14ac:dyDescent="0.25">
      <c r="B86" s="218"/>
    </row>
    <row r="87" spans="2:2" x14ac:dyDescent="0.25">
      <c r="B87" s="218"/>
    </row>
    <row r="88" spans="2:2" x14ac:dyDescent="0.25">
      <c r="B88" s="218"/>
    </row>
    <row r="89" spans="2:2" x14ac:dyDescent="0.25">
      <c r="B89" s="218"/>
    </row>
    <row r="90" spans="2:2" x14ac:dyDescent="0.25">
      <c r="B90" s="218"/>
    </row>
    <row r="91" spans="2:2" x14ac:dyDescent="0.25">
      <c r="B91" s="218"/>
    </row>
    <row r="92" spans="2:2" x14ac:dyDescent="0.25">
      <c r="B92" s="218"/>
    </row>
    <row r="93" spans="2:2" x14ac:dyDescent="0.25">
      <c r="B93" s="218"/>
    </row>
    <row r="94" spans="2:2" x14ac:dyDescent="0.25">
      <c r="B94" s="218"/>
    </row>
    <row r="95" spans="2:2" x14ac:dyDescent="0.25">
      <c r="B95" s="218"/>
    </row>
    <row r="96" spans="2:2" x14ac:dyDescent="0.25">
      <c r="B96" s="218"/>
    </row>
    <row r="97" spans="2:2" x14ac:dyDescent="0.25">
      <c r="B97" s="218"/>
    </row>
    <row r="98" spans="2:2" x14ac:dyDescent="0.25">
      <c r="B98" s="218"/>
    </row>
    <row r="99" spans="2:2" x14ac:dyDescent="0.25">
      <c r="B99" s="218"/>
    </row>
    <row r="100" spans="2:2" x14ac:dyDescent="0.25">
      <c r="B100" s="218"/>
    </row>
    <row r="101" spans="2:2" x14ac:dyDescent="0.25">
      <c r="B101" s="218"/>
    </row>
    <row r="102" spans="2:2" x14ac:dyDescent="0.25">
      <c r="B102" s="218"/>
    </row>
    <row r="103" spans="2:2" x14ac:dyDescent="0.25">
      <c r="B103" s="218"/>
    </row>
    <row r="104" spans="2:2" x14ac:dyDescent="0.25">
      <c r="B104" s="218"/>
    </row>
    <row r="105" spans="2:2" x14ac:dyDescent="0.25">
      <c r="B105" s="218"/>
    </row>
    <row r="106" spans="2:2" x14ac:dyDescent="0.25">
      <c r="B106" s="218"/>
    </row>
    <row r="107" spans="2:2" x14ac:dyDescent="0.25">
      <c r="B107" s="218"/>
    </row>
    <row r="108" spans="2:2" x14ac:dyDescent="0.25">
      <c r="B108" s="218"/>
    </row>
    <row r="109" spans="2:2" x14ac:dyDescent="0.25">
      <c r="B109" s="218"/>
    </row>
    <row r="110" spans="2:2" x14ac:dyDescent="0.25">
      <c r="B110" s="218"/>
    </row>
    <row r="111" spans="2:2" x14ac:dyDescent="0.25">
      <c r="B111" s="218"/>
    </row>
    <row r="112" spans="2:2" x14ac:dyDescent="0.25">
      <c r="B112" s="218"/>
    </row>
    <row r="113" spans="2:2" x14ac:dyDescent="0.25">
      <c r="B113" s="218"/>
    </row>
    <row r="114" spans="2:2" x14ac:dyDescent="0.25">
      <c r="B114" s="218"/>
    </row>
    <row r="115" spans="2:2" x14ac:dyDescent="0.25">
      <c r="B115" s="218"/>
    </row>
    <row r="116" spans="2:2" x14ac:dyDescent="0.25">
      <c r="B116" s="218"/>
    </row>
    <row r="117" spans="2:2" x14ac:dyDescent="0.25">
      <c r="B117" s="218"/>
    </row>
    <row r="118" spans="2:2" x14ac:dyDescent="0.25">
      <c r="B118" s="218"/>
    </row>
    <row r="119" spans="2:2" x14ac:dyDescent="0.25">
      <c r="B119" s="218"/>
    </row>
    <row r="120" spans="2:2" x14ac:dyDescent="0.25">
      <c r="B120" s="218"/>
    </row>
    <row r="121" spans="2:2" x14ac:dyDescent="0.25">
      <c r="B121" s="218"/>
    </row>
    <row r="122" spans="2:2" x14ac:dyDescent="0.25">
      <c r="B122" s="218"/>
    </row>
    <row r="123" spans="2:2" x14ac:dyDescent="0.25">
      <c r="B123" s="218"/>
    </row>
    <row r="124" spans="2:2" x14ac:dyDescent="0.25">
      <c r="B124" s="218"/>
    </row>
    <row r="125" spans="2:2" x14ac:dyDescent="0.25">
      <c r="B125" s="218"/>
    </row>
    <row r="126" spans="2:2" x14ac:dyDescent="0.25">
      <c r="B126" s="218"/>
    </row>
    <row r="127" spans="2:2" x14ac:dyDescent="0.25">
      <c r="B127" s="218"/>
    </row>
    <row r="128" spans="2:2" x14ac:dyDescent="0.25">
      <c r="B128" s="218"/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Sensitivity1">
                <anchor moveWithCells="1" sizeWithCells="1">
                  <from>
                    <xdr:col>0</xdr:col>
                    <xdr:colOff>123825</xdr:colOff>
                    <xdr:row>5</xdr:row>
                    <xdr:rowOff>190500</xdr:rowOff>
                  </from>
                  <to>
                    <xdr:col>0</xdr:col>
                    <xdr:colOff>1504950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Sensitivity2">
                <anchor moveWithCells="1" sizeWithCells="1">
                  <from>
                    <xdr:col>0</xdr:col>
                    <xdr:colOff>133350</xdr:colOff>
                    <xdr:row>18</xdr:row>
                    <xdr:rowOff>180975</xdr:rowOff>
                  </from>
                  <to>
                    <xdr:col>0</xdr:col>
                    <xdr:colOff>1457325</xdr:colOff>
                    <xdr:row>20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sScenario"/>
  <dimension ref="A1:O94"/>
  <sheetViews>
    <sheetView topLeftCell="A31" workbookViewId="0">
      <selection activeCell="N76" sqref="N76"/>
    </sheetView>
  </sheetViews>
  <sheetFormatPr defaultRowHeight="15.75" x14ac:dyDescent="0.25"/>
  <cols>
    <col min="1" max="1" width="8.25" customWidth="1"/>
    <col min="2" max="2" width="33.625" customWidth="1"/>
    <col min="5" max="5" width="9.125" customWidth="1"/>
    <col min="7" max="7" width="12.375" customWidth="1"/>
    <col min="9" max="9" width="19.75" customWidth="1"/>
    <col min="10" max="10" width="12.875" customWidth="1"/>
    <col min="12" max="12" width="10.375" customWidth="1"/>
  </cols>
  <sheetData>
    <row r="1" spans="1:14" ht="21" x14ac:dyDescent="0.35">
      <c r="A1" s="234" t="s">
        <v>406</v>
      </c>
    </row>
    <row r="2" spans="1:14" ht="31.5" x14ac:dyDescent="0.25">
      <c r="C2" s="237" t="s">
        <v>411</v>
      </c>
      <c r="D2" s="22">
        <v>2</v>
      </c>
    </row>
    <row r="4" spans="1:14" x14ac:dyDescent="0.25">
      <c r="B4" s="2" t="s">
        <v>438</v>
      </c>
      <c r="C4" s="313">
        <v>0.1</v>
      </c>
    </row>
    <row r="5" spans="1:14" ht="63" x14ac:dyDescent="0.25">
      <c r="A5" s="210" t="s">
        <v>410</v>
      </c>
      <c r="B5" s="238" t="s">
        <v>407</v>
      </c>
      <c r="C5" s="210" t="s">
        <v>413</v>
      </c>
      <c r="D5" s="210" t="s">
        <v>414</v>
      </c>
      <c r="E5" s="210" t="s">
        <v>282</v>
      </c>
      <c r="F5" s="210" t="s">
        <v>268</v>
      </c>
      <c r="G5" s="210" t="s">
        <v>99</v>
      </c>
      <c r="H5" s="210" t="s">
        <v>102</v>
      </c>
      <c r="I5" s="210" t="s">
        <v>119</v>
      </c>
      <c r="J5" s="210" t="s">
        <v>164</v>
      </c>
      <c r="K5" s="210" t="s">
        <v>415</v>
      </c>
      <c r="L5" s="210" t="s">
        <v>416</v>
      </c>
      <c r="M5" s="210" t="s">
        <v>417</v>
      </c>
      <c r="N5" s="236"/>
    </row>
    <row r="6" spans="1:14" x14ac:dyDescent="0.25">
      <c r="A6" s="241">
        <f>ROWS(A$6:A6)</f>
        <v>1</v>
      </c>
      <c r="B6" s="242" t="s">
        <v>427</v>
      </c>
      <c r="C6" s="243">
        <f>C7*(1+$C$4)</f>
        <v>3.3000000000000002E-2</v>
      </c>
      <c r="D6" s="243">
        <f t="shared" ref="D6:M6" si="0">D7*(1+$C$4)</f>
        <v>1.1000000000000001E-2</v>
      </c>
      <c r="E6" s="243">
        <f t="shared" si="0"/>
        <v>0.39600000000000002</v>
      </c>
      <c r="F6" s="243">
        <f t="shared" si="0"/>
        <v>0.66</v>
      </c>
      <c r="G6" s="314">
        <f t="shared" si="0"/>
        <v>66</v>
      </c>
      <c r="H6" s="243">
        <f t="shared" si="0"/>
        <v>4.51</v>
      </c>
      <c r="I6" s="314">
        <f t="shared" si="0"/>
        <v>66</v>
      </c>
      <c r="J6" s="243">
        <f t="shared" si="0"/>
        <v>8.8000000000000009E-2</v>
      </c>
      <c r="K6" s="243">
        <f t="shared" si="0"/>
        <v>9.9000000000000005E-2</v>
      </c>
      <c r="L6" s="243">
        <f t="shared" si="0"/>
        <v>9.9000000000000005E-2</v>
      </c>
      <c r="M6" s="243">
        <f t="shared" si="0"/>
        <v>2.7500000000000004E-2</v>
      </c>
    </row>
    <row r="7" spans="1:14" x14ac:dyDescent="0.25">
      <c r="A7" s="241">
        <f>ROWS(A$6:A7)</f>
        <v>2</v>
      </c>
      <c r="B7" s="242" t="s">
        <v>408</v>
      </c>
      <c r="C7" s="311">
        <v>0.03</v>
      </c>
      <c r="D7" s="311">
        <v>0.01</v>
      </c>
      <c r="E7" s="311">
        <v>0.36</v>
      </c>
      <c r="F7" s="311">
        <v>0.6</v>
      </c>
      <c r="G7" s="315">
        <v>60</v>
      </c>
      <c r="H7" s="312">
        <v>4.0999999999999996</v>
      </c>
      <c r="I7" s="315">
        <v>60</v>
      </c>
      <c r="J7" s="311">
        <v>0.08</v>
      </c>
      <c r="K7" s="311">
        <v>0.09</v>
      </c>
      <c r="L7" s="311">
        <v>0.09</v>
      </c>
      <c r="M7" s="311">
        <v>2.5000000000000001E-2</v>
      </c>
    </row>
    <row r="8" spans="1:14" x14ac:dyDescent="0.25">
      <c r="A8" s="241">
        <f>ROWS(A$6:A8)</f>
        <v>3</v>
      </c>
      <c r="B8" s="242" t="s">
        <v>428</v>
      </c>
      <c r="C8" s="243">
        <f>C7*(1-$C$4)</f>
        <v>2.7E-2</v>
      </c>
      <c r="D8" s="243">
        <f t="shared" ref="D8:M8" si="1">D7*(1-$C$4)</f>
        <v>9.0000000000000011E-3</v>
      </c>
      <c r="E8" s="243">
        <f t="shared" si="1"/>
        <v>0.32400000000000001</v>
      </c>
      <c r="F8" s="243">
        <f t="shared" si="1"/>
        <v>0.54</v>
      </c>
      <c r="G8" s="314">
        <f t="shared" si="1"/>
        <v>54</v>
      </c>
      <c r="H8" s="243">
        <f t="shared" si="1"/>
        <v>3.69</v>
      </c>
      <c r="I8" s="314">
        <f t="shared" si="1"/>
        <v>54</v>
      </c>
      <c r="J8" s="243">
        <f t="shared" si="1"/>
        <v>7.2000000000000008E-2</v>
      </c>
      <c r="K8" s="243">
        <f t="shared" si="1"/>
        <v>8.1000000000000003E-2</v>
      </c>
      <c r="L8" s="243">
        <f t="shared" si="1"/>
        <v>8.1000000000000003E-2</v>
      </c>
      <c r="M8" s="243">
        <f t="shared" si="1"/>
        <v>2.2500000000000003E-2</v>
      </c>
    </row>
    <row r="9" spans="1:14" s="22" customFormat="1" x14ac:dyDescent="0.25">
      <c r="A9" s="24">
        <f>ROWS(A$6:A9)</f>
        <v>4</v>
      </c>
      <c r="B9" s="246" t="str">
        <f t="array" ref="B9:B19">TRANSPOSE(C5:M5) &amp; " - Low"</f>
        <v>Sales Volumn Growth (Flat) - Low</v>
      </c>
      <c r="C9" s="31">
        <f>IF(LEFT($B9,LEN($B9)-6)=LEFT(C$5,LEN(C$5)),C$8,C$7)</f>
        <v>2.7E-2</v>
      </c>
      <c r="D9" s="31">
        <f t="shared" ref="D9:M19" si="2">IF(LEFT($B9,LEN($B9)-6)=LEFT(D$5,LEN(D$5)),D$8,D$7)</f>
        <v>0.01</v>
      </c>
      <c r="E9" s="31">
        <f t="shared" si="2"/>
        <v>0.36</v>
      </c>
      <c r="F9" s="31">
        <f t="shared" si="2"/>
        <v>0.6</v>
      </c>
      <c r="G9" s="247">
        <f t="shared" si="2"/>
        <v>60</v>
      </c>
      <c r="H9" s="26">
        <f t="shared" si="2"/>
        <v>4.0999999999999996</v>
      </c>
      <c r="I9" s="247">
        <f t="shared" si="2"/>
        <v>60</v>
      </c>
      <c r="J9" s="31">
        <f t="shared" si="2"/>
        <v>0.08</v>
      </c>
      <c r="K9" s="31">
        <f t="shared" si="2"/>
        <v>0.09</v>
      </c>
      <c r="L9" s="31">
        <f t="shared" si="2"/>
        <v>0.09</v>
      </c>
      <c r="M9" s="31">
        <f t="shared" si="2"/>
        <v>2.5000000000000001E-2</v>
      </c>
    </row>
    <row r="10" spans="1:14" s="22" customFormat="1" x14ac:dyDescent="0.25">
      <c r="A10" s="24">
        <f>ROWS(A$6:A10)</f>
        <v>5</v>
      </c>
      <c r="B10" s="248" t="str">
        <v>Sales Volumn Growth (Rolled) - Low</v>
      </c>
      <c r="C10" s="31">
        <f t="shared" ref="C10:C19" si="3">IF(LEFT($B10,LEN($B10)-6)=LEFT(C$5,LEN(C$5)),C$8,C$7)</f>
        <v>0.03</v>
      </c>
      <c r="D10" s="31">
        <f t="shared" si="2"/>
        <v>9.0000000000000011E-3</v>
      </c>
      <c r="E10" s="31">
        <f t="shared" si="2"/>
        <v>0.36</v>
      </c>
      <c r="F10" s="31">
        <f t="shared" si="2"/>
        <v>0.6</v>
      </c>
      <c r="G10" s="247">
        <f t="shared" si="2"/>
        <v>60</v>
      </c>
      <c r="H10" s="26">
        <f t="shared" si="2"/>
        <v>4.0999999999999996</v>
      </c>
      <c r="I10" s="247">
        <f t="shared" si="2"/>
        <v>60</v>
      </c>
      <c r="J10" s="31">
        <f t="shared" si="2"/>
        <v>0.08</v>
      </c>
      <c r="K10" s="31">
        <f t="shared" si="2"/>
        <v>0.09</v>
      </c>
      <c r="L10" s="31">
        <f t="shared" si="2"/>
        <v>0.09</v>
      </c>
      <c r="M10" s="31">
        <f t="shared" si="2"/>
        <v>2.5000000000000001E-2</v>
      </c>
    </row>
    <row r="11" spans="1:14" s="22" customFormat="1" x14ac:dyDescent="0.25">
      <c r="A11" s="24">
        <f>ROWS(A$6:A11)</f>
        <v>6</v>
      </c>
      <c r="B11" s="248" t="str">
        <v>Gross Profit Margin - Low</v>
      </c>
      <c r="C11" s="31">
        <f t="shared" si="3"/>
        <v>0.03</v>
      </c>
      <c r="D11" s="31">
        <f t="shared" si="2"/>
        <v>0.01</v>
      </c>
      <c r="E11" s="31">
        <f t="shared" si="2"/>
        <v>0.32400000000000001</v>
      </c>
      <c r="F11" s="31">
        <f t="shared" si="2"/>
        <v>0.6</v>
      </c>
      <c r="G11" s="247">
        <f t="shared" si="2"/>
        <v>60</v>
      </c>
      <c r="H11" s="26">
        <f t="shared" si="2"/>
        <v>4.0999999999999996</v>
      </c>
      <c r="I11" s="247">
        <f t="shared" si="2"/>
        <v>60</v>
      </c>
      <c r="J11" s="31">
        <f t="shared" si="2"/>
        <v>0.08</v>
      </c>
      <c r="K11" s="31">
        <f t="shared" si="2"/>
        <v>0.09</v>
      </c>
      <c r="L11" s="31">
        <f t="shared" si="2"/>
        <v>0.09</v>
      </c>
      <c r="M11" s="31">
        <f t="shared" si="2"/>
        <v>2.5000000000000001E-2</v>
      </c>
    </row>
    <row r="12" spans="1:14" s="22" customFormat="1" x14ac:dyDescent="0.25">
      <c r="A12" s="24">
        <f>ROWS(A$6:A12)</f>
        <v>7</v>
      </c>
      <c r="B12" s="248" t="str">
        <v>Dividend Payout Ratio - Low</v>
      </c>
      <c r="C12" s="31">
        <f t="shared" si="3"/>
        <v>0.03</v>
      </c>
      <c r="D12" s="31">
        <f t="shared" si="2"/>
        <v>0.01</v>
      </c>
      <c r="E12" s="31">
        <f t="shared" si="2"/>
        <v>0.36</v>
      </c>
      <c r="F12" s="31">
        <f t="shared" si="2"/>
        <v>0.54</v>
      </c>
      <c r="G12" s="247">
        <f t="shared" si="2"/>
        <v>60</v>
      </c>
      <c r="H12" s="26">
        <f t="shared" si="2"/>
        <v>4.0999999999999996</v>
      </c>
      <c r="I12" s="247">
        <f t="shared" si="2"/>
        <v>60</v>
      </c>
      <c r="J12" s="31">
        <f t="shared" si="2"/>
        <v>0.08</v>
      </c>
      <c r="K12" s="31">
        <f t="shared" si="2"/>
        <v>0.09</v>
      </c>
      <c r="L12" s="31">
        <f t="shared" si="2"/>
        <v>0.09</v>
      </c>
      <c r="M12" s="31">
        <f t="shared" si="2"/>
        <v>2.5000000000000001E-2</v>
      </c>
    </row>
    <row r="13" spans="1:14" s="22" customFormat="1" x14ac:dyDescent="0.25">
      <c r="A13" s="24">
        <f>ROWS(A$6:A13)</f>
        <v>8</v>
      </c>
      <c r="B13" s="248" t="str">
        <v>Days Sales Outstanding - Low</v>
      </c>
      <c r="C13" s="31">
        <f t="shared" si="3"/>
        <v>0.03</v>
      </c>
      <c r="D13" s="31">
        <f t="shared" si="2"/>
        <v>0.01</v>
      </c>
      <c r="E13" s="31">
        <f t="shared" si="2"/>
        <v>0.36</v>
      </c>
      <c r="F13" s="31">
        <f t="shared" si="2"/>
        <v>0.6</v>
      </c>
      <c r="G13" s="247">
        <f t="shared" si="2"/>
        <v>54</v>
      </c>
      <c r="H13" s="26">
        <f t="shared" si="2"/>
        <v>4.0999999999999996</v>
      </c>
      <c r="I13" s="247">
        <f t="shared" si="2"/>
        <v>60</v>
      </c>
      <c r="J13" s="31">
        <f t="shared" si="2"/>
        <v>0.08</v>
      </c>
      <c r="K13" s="31">
        <f t="shared" si="2"/>
        <v>0.09</v>
      </c>
      <c r="L13" s="31">
        <f t="shared" si="2"/>
        <v>0.09</v>
      </c>
      <c r="M13" s="31">
        <f t="shared" si="2"/>
        <v>2.5000000000000001E-2</v>
      </c>
    </row>
    <row r="14" spans="1:14" s="22" customFormat="1" x14ac:dyDescent="0.25">
      <c r="A14" s="24">
        <f>ROWS(A$6:A14)</f>
        <v>9</v>
      </c>
      <c r="B14" s="248" t="str">
        <v>Inventory Turns - Low</v>
      </c>
      <c r="C14" s="31">
        <f t="shared" si="3"/>
        <v>0.03</v>
      </c>
      <c r="D14" s="31">
        <f t="shared" si="2"/>
        <v>0.01</v>
      </c>
      <c r="E14" s="31">
        <f t="shared" si="2"/>
        <v>0.36</v>
      </c>
      <c r="F14" s="31">
        <f t="shared" si="2"/>
        <v>0.6</v>
      </c>
      <c r="G14" s="247">
        <f t="shared" si="2"/>
        <v>60</v>
      </c>
      <c r="H14" s="26">
        <f t="shared" si="2"/>
        <v>3.69</v>
      </c>
      <c r="I14" s="247">
        <f t="shared" si="2"/>
        <v>60</v>
      </c>
      <c r="J14" s="31">
        <f t="shared" si="2"/>
        <v>0.08</v>
      </c>
      <c r="K14" s="31">
        <f t="shared" si="2"/>
        <v>0.09</v>
      </c>
      <c r="L14" s="31">
        <f t="shared" si="2"/>
        <v>0.09</v>
      </c>
      <c r="M14" s="31">
        <f t="shared" si="2"/>
        <v>2.5000000000000001E-2</v>
      </c>
    </row>
    <row r="15" spans="1:14" s="22" customFormat="1" x14ac:dyDescent="0.25">
      <c r="A15" s="24">
        <f>ROWS(A$6:A15)</f>
        <v>10</v>
      </c>
      <c r="B15" s="248" t="str">
        <v>Days Payables Outstanding - Low</v>
      </c>
      <c r="C15" s="31">
        <f t="shared" si="3"/>
        <v>0.03</v>
      </c>
      <c r="D15" s="31">
        <f t="shared" si="2"/>
        <v>0.01</v>
      </c>
      <c r="E15" s="31">
        <f t="shared" si="2"/>
        <v>0.36</v>
      </c>
      <c r="F15" s="31">
        <f t="shared" si="2"/>
        <v>0.6</v>
      </c>
      <c r="G15" s="247">
        <f t="shared" si="2"/>
        <v>60</v>
      </c>
      <c r="H15" s="26">
        <f t="shared" si="2"/>
        <v>4.0999999999999996</v>
      </c>
      <c r="I15" s="247">
        <f t="shared" si="2"/>
        <v>54</v>
      </c>
      <c r="J15" s="31">
        <f t="shared" si="2"/>
        <v>0.08</v>
      </c>
      <c r="K15" s="31">
        <f t="shared" si="2"/>
        <v>0.09</v>
      </c>
      <c r="L15" s="31">
        <f t="shared" si="2"/>
        <v>0.09</v>
      </c>
      <c r="M15" s="31">
        <f t="shared" si="2"/>
        <v>2.5000000000000001E-2</v>
      </c>
    </row>
    <row r="16" spans="1:14" s="22" customFormat="1" x14ac:dyDescent="0.25">
      <c r="A16" s="24">
        <f>ROWS(A$6:A16)</f>
        <v>11</v>
      </c>
      <c r="B16" s="248" t="str">
        <v>Capital expenditures as % of sales - Low</v>
      </c>
      <c r="C16" s="31">
        <f t="shared" si="3"/>
        <v>0.03</v>
      </c>
      <c r="D16" s="31">
        <f t="shared" si="2"/>
        <v>0.01</v>
      </c>
      <c r="E16" s="31">
        <f t="shared" si="2"/>
        <v>0.36</v>
      </c>
      <c r="F16" s="31">
        <f t="shared" si="2"/>
        <v>0.6</v>
      </c>
      <c r="G16" s="247">
        <f t="shared" si="2"/>
        <v>60</v>
      </c>
      <c r="H16" s="26">
        <f t="shared" si="2"/>
        <v>4.0999999999999996</v>
      </c>
      <c r="I16" s="247">
        <f t="shared" si="2"/>
        <v>60</v>
      </c>
      <c r="J16" s="31">
        <f t="shared" si="2"/>
        <v>7.2000000000000008E-2</v>
      </c>
      <c r="K16" s="31">
        <f t="shared" si="2"/>
        <v>0.09</v>
      </c>
      <c r="L16" s="31">
        <f t="shared" si="2"/>
        <v>0.09</v>
      </c>
      <c r="M16" s="31">
        <f t="shared" si="2"/>
        <v>2.5000000000000001E-2</v>
      </c>
    </row>
    <row r="17" spans="1:13" s="22" customFormat="1" x14ac:dyDescent="0.25">
      <c r="A17" s="24">
        <f>ROWS(A$6:A17)</f>
        <v>12</v>
      </c>
      <c r="B17" s="248" t="str">
        <v>WACC (stable period) - Low</v>
      </c>
      <c r="C17" s="31">
        <f t="shared" si="3"/>
        <v>0.03</v>
      </c>
      <c r="D17" s="31">
        <f t="shared" si="2"/>
        <v>0.01</v>
      </c>
      <c r="E17" s="31">
        <f t="shared" si="2"/>
        <v>0.36</v>
      </c>
      <c r="F17" s="31">
        <f t="shared" si="2"/>
        <v>0.6</v>
      </c>
      <c r="G17" s="247">
        <f t="shared" si="2"/>
        <v>60</v>
      </c>
      <c r="H17" s="26">
        <f t="shared" si="2"/>
        <v>4.0999999999999996</v>
      </c>
      <c r="I17" s="247">
        <f t="shared" si="2"/>
        <v>60</v>
      </c>
      <c r="J17" s="31">
        <f t="shared" si="2"/>
        <v>0.08</v>
      </c>
      <c r="K17" s="31">
        <f t="shared" si="2"/>
        <v>8.1000000000000003E-2</v>
      </c>
      <c r="L17" s="31">
        <f t="shared" si="2"/>
        <v>0.09</v>
      </c>
      <c r="M17" s="31">
        <f t="shared" si="2"/>
        <v>2.5000000000000001E-2</v>
      </c>
    </row>
    <row r="18" spans="1:13" s="22" customFormat="1" x14ac:dyDescent="0.25">
      <c r="A18" s="24">
        <f>ROWS(A$6:A18)</f>
        <v>13</v>
      </c>
      <c r="B18" s="248" t="str">
        <v>ROIC (stable period) - Low</v>
      </c>
      <c r="C18" s="31">
        <f t="shared" si="3"/>
        <v>0.03</v>
      </c>
      <c r="D18" s="31">
        <f t="shared" si="2"/>
        <v>0.01</v>
      </c>
      <c r="E18" s="31">
        <f t="shared" si="2"/>
        <v>0.36</v>
      </c>
      <c r="F18" s="31">
        <f t="shared" si="2"/>
        <v>0.6</v>
      </c>
      <c r="G18" s="247">
        <f t="shared" si="2"/>
        <v>60</v>
      </c>
      <c r="H18" s="26">
        <f t="shared" si="2"/>
        <v>4.0999999999999996</v>
      </c>
      <c r="I18" s="247">
        <f t="shared" si="2"/>
        <v>60</v>
      </c>
      <c r="J18" s="31">
        <f t="shared" si="2"/>
        <v>0.08</v>
      </c>
      <c r="K18" s="31">
        <f t="shared" si="2"/>
        <v>0.09</v>
      </c>
      <c r="L18" s="31">
        <f t="shared" si="2"/>
        <v>8.1000000000000003E-2</v>
      </c>
      <c r="M18" s="31">
        <f t="shared" si="2"/>
        <v>2.5000000000000001E-2</v>
      </c>
    </row>
    <row r="19" spans="1:13" s="22" customFormat="1" x14ac:dyDescent="0.25">
      <c r="A19" s="24">
        <f>ROWS(A$6:A19)</f>
        <v>14</v>
      </c>
      <c r="B19" s="248" t="str">
        <v>Growth Rate (stable period) - Low</v>
      </c>
      <c r="C19" s="31">
        <f t="shared" si="3"/>
        <v>0.03</v>
      </c>
      <c r="D19" s="31">
        <f t="shared" si="2"/>
        <v>0.01</v>
      </c>
      <c r="E19" s="31">
        <f t="shared" si="2"/>
        <v>0.36</v>
      </c>
      <c r="F19" s="31">
        <f t="shared" si="2"/>
        <v>0.6</v>
      </c>
      <c r="G19" s="247">
        <f t="shared" si="2"/>
        <v>60</v>
      </c>
      <c r="H19" s="26">
        <f t="shared" si="2"/>
        <v>4.0999999999999996</v>
      </c>
      <c r="I19" s="247">
        <f t="shared" si="2"/>
        <v>60</v>
      </c>
      <c r="J19" s="31">
        <f t="shared" si="2"/>
        <v>0.08</v>
      </c>
      <c r="K19" s="31">
        <f t="shared" si="2"/>
        <v>0.09</v>
      </c>
      <c r="L19" s="31">
        <f t="shared" si="2"/>
        <v>0.09</v>
      </c>
      <c r="M19" s="31">
        <f t="shared" si="2"/>
        <v>2.2500000000000003E-2</v>
      </c>
    </row>
    <row r="20" spans="1:13" s="22" customFormat="1" x14ac:dyDescent="0.25">
      <c r="A20" s="24">
        <f>ROWS(A$6:A20)</f>
        <v>15</v>
      </c>
      <c r="B20" s="248" t="str">
        <f t="array" ref="B20:B30">TRANSPOSE(C5:M5) &amp; " - High"</f>
        <v>Sales Volumn Growth (Flat) - High</v>
      </c>
      <c r="C20" s="31">
        <f>IF(LEFT($B20,LEN($B20)-7)=LEFT(C$5,LEN(C$5)),C$6,C$7)</f>
        <v>3.3000000000000002E-2</v>
      </c>
      <c r="D20" s="31">
        <f t="shared" ref="D20:M30" si="4">IF(LEFT($B20,LEN($B20)-7)=LEFT(D$5,LEN(D$5)),D$6,D$7)</f>
        <v>0.01</v>
      </c>
      <c r="E20" s="31">
        <f t="shared" si="4"/>
        <v>0.36</v>
      </c>
      <c r="F20" s="31">
        <f t="shared" si="4"/>
        <v>0.6</v>
      </c>
      <c r="G20" s="26">
        <f t="shared" si="4"/>
        <v>60</v>
      </c>
      <c r="H20" s="26">
        <f t="shared" si="4"/>
        <v>4.0999999999999996</v>
      </c>
      <c r="I20" s="26">
        <f t="shared" si="4"/>
        <v>60</v>
      </c>
      <c r="J20" s="31">
        <f t="shared" si="4"/>
        <v>0.08</v>
      </c>
      <c r="K20" s="31">
        <f t="shared" si="4"/>
        <v>0.09</v>
      </c>
      <c r="L20" s="31">
        <f t="shared" si="4"/>
        <v>0.09</v>
      </c>
      <c r="M20" s="31">
        <f t="shared" si="4"/>
        <v>2.5000000000000001E-2</v>
      </c>
    </row>
    <row r="21" spans="1:13" s="22" customFormat="1" x14ac:dyDescent="0.25">
      <c r="A21" s="24">
        <f>ROWS(A$6:A21)</f>
        <v>16</v>
      </c>
      <c r="B21" s="248" t="str">
        <v>Sales Volumn Growth (Rolled) - High</v>
      </c>
      <c r="C21" s="31">
        <f t="shared" ref="C21:C30" si="5">IF(LEFT($B21,LEN($B21)-7)=LEFT(C$5,LEN(C$5)),C$6,C$7)</f>
        <v>0.03</v>
      </c>
      <c r="D21" s="31">
        <f t="shared" si="4"/>
        <v>1.1000000000000001E-2</v>
      </c>
      <c r="E21" s="31">
        <f t="shared" si="4"/>
        <v>0.36</v>
      </c>
      <c r="F21" s="31">
        <f t="shared" si="4"/>
        <v>0.6</v>
      </c>
      <c r="G21" s="26">
        <f t="shared" si="4"/>
        <v>60</v>
      </c>
      <c r="H21" s="26">
        <f t="shared" si="4"/>
        <v>4.0999999999999996</v>
      </c>
      <c r="I21" s="26">
        <f t="shared" si="4"/>
        <v>60</v>
      </c>
      <c r="J21" s="31">
        <f t="shared" si="4"/>
        <v>0.08</v>
      </c>
      <c r="K21" s="31">
        <f t="shared" si="4"/>
        <v>0.09</v>
      </c>
      <c r="L21" s="31">
        <f t="shared" si="4"/>
        <v>0.09</v>
      </c>
      <c r="M21" s="31">
        <f t="shared" si="4"/>
        <v>2.5000000000000001E-2</v>
      </c>
    </row>
    <row r="22" spans="1:13" s="22" customFormat="1" x14ac:dyDescent="0.25">
      <c r="A22" s="24">
        <f>ROWS(A$6:A22)</f>
        <v>17</v>
      </c>
      <c r="B22" s="248" t="str">
        <v>Gross Profit Margin - High</v>
      </c>
      <c r="C22" s="31">
        <f t="shared" si="5"/>
        <v>0.03</v>
      </c>
      <c r="D22" s="31">
        <f t="shared" si="4"/>
        <v>0.01</v>
      </c>
      <c r="E22" s="31">
        <f t="shared" si="4"/>
        <v>0.39600000000000002</v>
      </c>
      <c r="F22" s="31">
        <f t="shared" si="4"/>
        <v>0.6</v>
      </c>
      <c r="G22" s="26">
        <f t="shared" si="4"/>
        <v>60</v>
      </c>
      <c r="H22" s="26">
        <f t="shared" si="4"/>
        <v>4.0999999999999996</v>
      </c>
      <c r="I22" s="26">
        <f t="shared" si="4"/>
        <v>60</v>
      </c>
      <c r="J22" s="31">
        <f t="shared" si="4"/>
        <v>0.08</v>
      </c>
      <c r="K22" s="31">
        <f t="shared" si="4"/>
        <v>0.09</v>
      </c>
      <c r="L22" s="31">
        <f t="shared" si="4"/>
        <v>0.09</v>
      </c>
      <c r="M22" s="31">
        <f t="shared" si="4"/>
        <v>2.5000000000000001E-2</v>
      </c>
    </row>
    <row r="23" spans="1:13" s="22" customFormat="1" x14ac:dyDescent="0.25">
      <c r="A23" s="24">
        <f>ROWS(A$6:A23)</f>
        <v>18</v>
      </c>
      <c r="B23" s="248" t="str">
        <v>Dividend Payout Ratio - High</v>
      </c>
      <c r="C23" s="31">
        <f t="shared" si="5"/>
        <v>0.03</v>
      </c>
      <c r="D23" s="31">
        <f t="shared" si="4"/>
        <v>0.01</v>
      </c>
      <c r="E23" s="31">
        <f t="shared" si="4"/>
        <v>0.36</v>
      </c>
      <c r="F23" s="31">
        <f t="shared" si="4"/>
        <v>0.66</v>
      </c>
      <c r="G23" s="26">
        <f t="shared" si="4"/>
        <v>60</v>
      </c>
      <c r="H23" s="26">
        <f t="shared" si="4"/>
        <v>4.0999999999999996</v>
      </c>
      <c r="I23" s="26">
        <f t="shared" si="4"/>
        <v>60</v>
      </c>
      <c r="J23" s="31">
        <f t="shared" si="4"/>
        <v>0.08</v>
      </c>
      <c r="K23" s="31">
        <f t="shared" si="4"/>
        <v>0.09</v>
      </c>
      <c r="L23" s="31">
        <f t="shared" si="4"/>
        <v>0.09</v>
      </c>
      <c r="M23" s="31">
        <f t="shared" si="4"/>
        <v>2.5000000000000001E-2</v>
      </c>
    </row>
    <row r="24" spans="1:13" s="22" customFormat="1" x14ac:dyDescent="0.25">
      <c r="A24" s="24">
        <f>ROWS(A$6:A24)</f>
        <v>19</v>
      </c>
      <c r="B24" s="248" t="str">
        <v>Days Sales Outstanding - High</v>
      </c>
      <c r="C24" s="31">
        <f t="shared" si="5"/>
        <v>0.03</v>
      </c>
      <c r="D24" s="31">
        <f t="shared" si="4"/>
        <v>0.01</v>
      </c>
      <c r="E24" s="31">
        <f t="shared" si="4"/>
        <v>0.36</v>
      </c>
      <c r="F24" s="31">
        <f t="shared" si="4"/>
        <v>0.6</v>
      </c>
      <c r="G24" s="26">
        <f t="shared" si="4"/>
        <v>66</v>
      </c>
      <c r="H24" s="26">
        <f t="shared" si="4"/>
        <v>4.0999999999999996</v>
      </c>
      <c r="I24" s="26">
        <f t="shared" si="4"/>
        <v>60</v>
      </c>
      <c r="J24" s="31">
        <f t="shared" si="4"/>
        <v>0.08</v>
      </c>
      <c r="K24" s="31">
        <f t="shared" si="4"/>
        <v>0.09</v>
      </c>
      <c r="L24" s="31">
        <f t="shared" si="4"/>
        <v>0.09</v>
      </c>
      <c r="M24" s="31">
        <f t="shared" si="4"/>
        <v>2.5000000000000001E-2</v>
      </c>
    </row>
    <row r="25" spans="1:13" s="22" customFormat="1" x14ac:dyDescent="0.25">
      <c r="A25" s="24">
        <f>ROWS(A$6:A25)</f>
        <v>20</v>
      </c>
      <c r="B25" s="248" t="str">
        <v>Inventory Turns - High</v>
      </c>
      <c r="C25" s="31">
        <f t="shared" si="5"/>
        <v>0.03</v>
      </c>
      <c r="D25" s="31">
        <f t="shared" si="4"/>
        <v>0.01</v>
      </c>
      <c r="E25" s="31">
        <f t="shared" si="4"/>
        <v>0.36</v>
      </c>
      <c r="F25" s="31">
        <f t="shared" si="4"/>
        <v>0.6</v>
      </c>
      <c r="G25" s="26">
        <f t="shared" si="4"/>
        <v>60</v>
      </c>
      <c r="H25" s="26">
        <f t="shared" si="4"/>
        <v>4.51</v>
      </c>
      <c r="I25" s="26">
        <f t="shared" si="4"/>
        <v>60</v>
      </c>
      <c r="J25" s="31">
        <f t="shared" si="4"/>
        <v>0.08</v>
      </c>
      <c r="K25" s="31">
        <f t="shared" si="4"/>
        <v>0.09</v>
      </c>
      <c r="L25" s="31">
        <f t="shared" si="4"/>
        <v>0.09</v>
      </c>
      <c r="M25" s="31">
        <f t="shared" si="4"/>
        <v>2.5000000000000001E-2</v>
      </c>
    </row>
    <row r="26" spans="1:13" s="22" customFormat="1" x14ac:dyDescent="0.25">
      <c r="A26" s="24">
        <f>ROWS(A$6:A26)</f>
        <v>21</v>
      </c>
      <c r="B26" s="248" t="str">
        <v>Days Payables Outstanding - High</v>
      </c>
      <c r="C26" s="31">
        <f t="shared" si="5"/>
        <v>0.03</v>
      </c>
      <c r="D26" s="31">
        <f t="shared" si="4"/>
        <v>0.01</v>
      </c>
      <c r="E26" s="31">
        <f t="shared" si="4"/>
        <v>0.36</v>
      </c>
      <c r="F26" s="31">
        <f t="shared" si="4"/>
        <v>0.6</v>
      </c>
      <c r="G26" s="26">
        <f t="shared" si="4"/>
        <v>60</v>
      </c>
      <c r="H26" s="26">
        <f t="shared" si="4"/>
        <v>4.0999999999999996</v>
      </c>
      <c r="I26" s="26">
        <f t="shared" si="4"/>
        <v>66</v>
      </c>
      <c r="J26" s="31">
        <f t="shared" si="4"/>
        <v>0.08</v>
      </c>
      <c r="K26" s="31">
        <f t="shared" si="4"/>
        <v>0.09</v>
      </c>
      <c r="L26" s="31">
        <f t="shared" si="4"/>
        <v>0.09</v>
      </c>
      <c r="M26" s="31">
        <f t="shared" si="4"/>
        <v>2.5000000000000001E-2</v>
      </c>
    </row>
    <row r="27" spans="1:13" s="22" customFormat="1" x14ac:dyDescent="0.25">
      <c r="A27" s="24">
        <f>ROWS(A$6:A27)</f>
        <v>22</v>
      </c>
      <c r="B27" s="248" t="str">
        <v>Capital expenditures as % of sales - High</v>
      </c>
      <c r="C27" s="31">
        <f t="shared" si="5"/>
        <v>0.03</v>
      </c>
      <c r="D27" s="31">
        <f t="shared" si="4"/>
        <v>0.01</v>
      </c>
      <c r="E27" s="31">
        <f t="shared" si="4"/>
        <v>0.36</v>
      </c>
      <c r="F27" s="31">
        <f t="shared" si="4"/>
        <v>0.6</v>
      </c>
      <c r="G27" s="26">
        <f t="shared" si="4"/>
        <v>60</v>
      </c>
      <c r="H27" s="26">
        <f t="shared" si="4"/>
        <v>4.0999999999999996</v>
      </c>
      <c r="I27" s="26">
        <f t="shared" si="4"/>
        <v>60</v>
      </c>
      <c r="J27" s="31">
        <f t="shared" si="4"/>
        <v>8.8000000000000009E-2</v>
      </c>
      <c r="K27" s="31">
        <f t="shared" si="4"/>
        <v>0.09</v>
      </c>
      <c r="L27" s="31">
        <f t="shared" si="4"/>
        <v>0.09</v>
      </c>
      <c r="M27" s="31">
        <f t="shared" si="4"/>
        <v>2.5000000000000001E-2</v>
      </c>
    </row>
    <row r="28" spans="1:13" s="22" customFormat="1" x14ac:dyDescent="0.25">
      <c r="A28" s="24">
        <f>ROWS(A$6:A28)</f>
        <v>23</v>
      </c>
      <c r="B28" s="248" t="str">
        <v>WACC (stable period) - High</v>
      </c>
      <c r="C28" s="31">
        <f t="shared" si="5"/>
        <v>0.03</v>
      </c>
      <c r="D28" s="31">
        <f t="shared" si="4"/>
        <v>0.01</v>
      </c>
      <c r="E28" s="31">
        <f t="shared" si="4"/>
        <v>0.36</v>
      </c>
      <c r="F28" s="31">
        <f t="shared" si="4"/>
        <v>0.6</v>
      </c>
      <c r="G28" s="26">
        <f t="shared" si="4"/>
        <v>60</v>
      </c>
      <c r="H28" s="26">
        <f t="shared" si="4"/>
        <v>4.0999999999999996</v>
      </c>
      <c r="I28" s="26">
        <f t="shared" si="4"/>
        <v>60</v>
      </c>
      <c r="J28" s="31">
        <f t="shared" si="4"/>
        <v>0.08</v>
      </c>
      <c r="K28" s="31">
        <f t="shared" si="4"/>
        <v>9.9000000000000005E-2</v>
      </c>
      <c r="L28" s="31">
        <f t="shared" si="4"/>
        <v>0.09</v>
      </c>
      <c r="M28" s="31">
        <f t="shared" si="4"/>
        <v>2.5000000000000001E-2</v>
      </c>
    </row>
    <row r="29" spans="1:13" s="22" customFormat="1" x14ac:dyDescent="0.25">
      <c r="A29" s="24">
        <f>ROWS(A$6:A29)</f>
        <v>24</v>
      </c>
      <c r="B29" s="248" t="str">
        <v>ROIC (stable period) - High</v>
      </c>
      <c r="C29" s="31">
        <f t="shared" si="5"/>
        <v>0.03</v>
      </c>
      <c r="D29" s="31">
        <f t="shared" si="4"/>
        <v>0.01</v>
      </c>
      <c r="E29" s="31">
        <f t="shared" si="4"/>
        <v>0.36</v>
      </c>
      <c r="F29" s="31">
        <f t="shared" si="4"/>
        <v>0.6</v>
      </c>
      <c r="G29" s="26">
        <f t="shared" si="4"/>
        <v>60</v>
      </c>
      <c r="H29" s="26">
        <f t="shared" si="4"/>
        <v>4.0999999999999996</v>
      </c>
      <c r="I29" s="26">
        <f t="shared" si="4"/>
        <v>60</v>
      </c>
      <c r="J29" s="31">
        <f t="shared" si="4"/>
        <v>0.08</v>
      </c>
      <c r="K29" s="31">
        <f t="shared" si="4"/>
        <v>0.09</v>
      </c>
      <c r="L29" s="31">
        <f t="shared" si="4"/>
        <v>9.9000000000000005E-2</v>
      </c>
      <c r="M29" s="31">
        <f t="shared" si="4"/>
        <v>2.5000000000000001E-2</v>
      </c>
    </row>
    <row r="30" spans="1:13" s="22" customFormat="1" x14ac:dyDescent="0.25">
      <c r="A30" s="24">
        <f>ROWS(A$6:A30)</f>
        <v>25</v>
      </c>
      <c r="B30" s="248" t="str">
        <v>Growth Rate (stable period) - High</v>
      </c>
      <c r="C30" s="31">
        <f t="shared" si="5"/>
        <v>0.03</v>
      </c>
      <c r="D30" s="31">
        <f t="shared" si="4"/>
        <v>0.01</v>
      </c>
      <c r="E30" s="31">
        <f t="shared" si="4"/>
        <v>0.36</v>
      </c>
      <c r="F30" s="31">
        <f t="shared" si="4"/>
        <v>0.6</v>
      </c>
      <c r="G30" s="26">
        <f t="shared" si="4"/>
        <v>60</v>
      </c>
      <c r="H30" s="26">
        <f t="shared" si="4"/>
        <v>4.0999999999999996</v>
      </c>
      <c r="I30" s="26">
        <f t="shared" si="4"/>
        <v>60</v>
      </c>
      <c r="J30" s="31">
        <f t="shared" si="4"/>
        <v>0.08</v>
      </c>
      <c r="K30" s="31">
        <f t="shared" si="4"/>
        <v>0.09</v>
      </c>
      <c r="L30" s="31">
        <f t="shared" si="4"/>
        <v>0.09</v>
      </c>
      <c r="M30" s="31">
        <f t="shared" si="4"/>
        <v>2.7500000000000004E-2</v>
      </c>
    </row>
    <row r="31" spans="1:13" x14ac:dyDescent="0.25">
      <c r="A31" s="241">
        <f>ROWS(A$6:A31)</f>
        <v>26</v>
      </c>
      <c r="B31" s="242" t="s">
        <v>409</v>
      </c>
      <c r="C31" s="243">
        <f>(C32-2)/200</f>
        <v>0.03</v>
      </c>
      <c r="D31" s="243">
        <f>(D32-2)/200</f>
        <v>0.01</v>
      </c>
      <c r="E31" s="243">
        <f>(E32+32)/100</f>
        <v>0.36</v>
      </c>
      <c r="F31" s="243">
        <f>(F32+50)/100</f>
        <v>0.6</v>
      </c>
      <c r="G31" s="244">
        <f>G32</f>
        <v>60</v>
      </c>
      <c r="H31" s="244">
        <f>H32/10</f>
        <v>4.0999999999999996</v>
      </c>
      <c r="I31" s="245">
        <f>I32</f>
        <v>60</v>
      </c>
      <c r="J31" s="243">
        <f>J32/100</f>
        <v>0.08</v>
      </c>
      <c r="K31" s="243">
        <f>K32/1000</f>
        <v>9.5000000000000001E-2</v>
      </c>
      <c r="L31" s="243">
        <f>L32/1000</f>
        <v>9.6000000000000002E-2</v>
      </c>
      <c r="M31" s="243">
        <f>M32/1000</f>
        <v>2.7E-2</v>
      </c>
    </row>
    <row r="32" spans="1:13" x14ac:dyDescent="0.25">
      <c r="C32">
        <v>8</v>
      </c>
      <c r="D32">
        <v>4</v>
      </c>
      <c r="E32">
        <v>4</v>
      </c>
      <c r="F32">
        <v>10</v>
      </c>
      <c r="G32" s="155">
        <v>60</v>
      </c>
      <c r="H32" s="155">
        <v>41</v>
      </c>
      <c r="I32" s="155">
        <v>60</v>
      </c>
      <c r="J32">
        <v>8</v>
      </c>
      <c r="K32" s="203">
        <v>95</v>
      </c>
      <c r="L32" s="203">
        <v>96</v>
      </c>
      <c r="M32" s="203">
        <v>27</v>
      </c>
    </row>
    <row r="33" spans="1:15" s="22" customFormat="1" x14ac:dyDescent="0.25"/>
    <row r="34" spans="1:15" x14ac:dyDescent="0.25">
      <c r="A34" s="316">
        <f>$D$2</f>
        <v>2</v>
      </c>
      <c r="B34" s="317" t="str">
        <f>INDEX($B$6:$M$31,$D$2,MATCH(B5,$B$5:$M$5,0))</f>
        <v>Base Case</v>
      </c>
      <c r="C34" s="317">
        <f t="shared" ref="C34:M34" si="6">INDEX($B$6:$M$31,$D$2,MATCH(C5,$B$5:$M$5,0))</f>
        <v>0.03</v>
      </c>
      <c r="D34" s="317">
        <f t="shared" si="6"/>
        <v>0.01</v>
      </c>
      <c r="E34" s="317">
        <f t="shared" si="6"/>
        <v>0.36</v>
      </c>
      <c r="F34" s="317">
        <f t="shared" si="6"/>
        <v>0.6</v>
      </c>
      <c r="G34" s="318">
        <f t="shared" si="6"/>
        <v>60</v>
      </c>
      <c r="H34" s="318">
        <f t="shared" si="6"/>
        <v>4.0999999999999996</v>
      </c>
      <c r="I34" s="318">
        <f t="shared" si="6"/>
        <v>60</v>
      </c>
      <c r="J34" s="317">
        <f t="shared" si="6"/>
        <v>0.08</v>
      </c>
      <c r="K34" s="317">
        <f t="shared" si="6"/>
        <v>0.09</v>
      </c>
      <c r="L34" s="317">
        <f t="shared" si="6"/>
        <v>0.09</v>
      </c>
      <c r="M34" s="317">
        <f t="shared" si="6"/>
        <v>2.5000000000000001E-2</v>
      </c>
      <c r="N34" s="11"/>
      <c r="O34" s="199"/>
    </row>
    <row r="35" spans="1:15" s="22" customFormat="1" x14ac:dyDescent="0.25">
      <c r="A35" s="240"/>
      <c r="B35" s="202"/>
      <c r="C35" s="202"/>
      <c r="D35" s="202"/>
      <c r="E35" s="202"/>
      <c r="F35" s="202"/>
      <c r="G35" s="239"/>
      <c r="H35" s="239"/>
      <c r="I35" s="239"/>
      <c r="J35" s="202"/>
      <c r="K35" s="202"/>
      <c r="L35" s="202"/>
      <c r="M35" s="202"/>
      <c r="N35" s="11"/>
      <c r="O35" s="199"/>
    </row>
    <row r="37" spans="1:15" x14ac:dyDescent="0.25">
      <c r="A37" s="2" t="s">
        <v>418</v>
      </c>
    </row>
    <row r="38" spans="1:15" s="22" customFormat="1" x14ac:dyDescent="0.25">
      <c r="A38" s="2"/>
    </row>
    <row r="39" spans="1:15" ht="63" x14ac:dyDescent="0.25">
      <c r="A39" s="210" t="s">
        <v>410</v>
      </c>
      <c r="B39" s="210" t="s">
        <v>407</v>
      </c>
      <c r="C39" s="210" t="s">
        <v>45</v>
      </c>
      <c r="D39" s="210" t="s">
        <v>46</v>
      </c>
      <c r="E39" s="210" t="s">
        <v>47</v>
      </c>
      <c r="F39" s="210" t="s">
        <v>31</v>
      </c>
      <c r="G39" s="210" t="s">
        <v>395</v>
      </c>
      <c r="H39" s="210" t="s">
        <v>396</v>
      </c>
      <c r="I39" s="210" t="s">
        <v>373</v>
      </c>
      <c r="J39" s="210" t="s">
        <v>329</v>
      </c>
      <c r="K39" s="210" t="s">
        <v>378</v>
      </c>
    </row>
    <row r="40" spans="1:15" x14ac:dyDescent="0.25">
      <c r="A40">
        <v>1</v>
      </c>
      <c r="B40" s="219" t="s">
        <v>427</v>
      </c>
      <c r="C40" s="4">
        <v>0.16404039520958241</v>
      </c>
      <c r="D40" s="4">
        <v>0.47833852776299302</v>
      </c>
      <c r="E40" s="4">
        <v>1.3880513732298074</v>
      </c>
      <c r="F40" s="4">
        <v>0.10891600659489918</v>
      </c>
      <c r="G40" s="4">
        <v>0.27777777777777779</v>
      </c>
      <c r="H40" s="4">
        <v>0.11168671275903208</v>
      </c>
      <c r="I40" s="155">
        <v>1626.7533891113696</v>
      </c>
      <c r="J40" s="155">
        <v>1716.4533891113697</v>
      </c>
      <c r="K40" s="155">
        <v>171.64533891113697</v>
      </c>
    </row>
    <row r="41" spans="1:15" x14ac:dyDescent="0.25">
      <c r="A41" s="22">
        <v>2</v>
      </c>
      <c r="B41" s="219" t="s">
        <v>408</v>
      </c>
      <c r="C41" s="4">
        <v>0.1424214017018382</v>
      </c>
      <c r="D41" s="4">
        <v>0.48264509209526663</v>
      </c>
      <c r="E41" s="4">
        <v>1.3573421005351076</v>
      </c>
      <c r="F41" s="4">
        <v>9.3302325809204681E-2</v>
      </c>
      <c r="G41" s="4">
        <v>0.27777777777777779</v>
      </c>
      <c r="H41" s="4">
        <v>9.7498032544259483E-2</v>
      </c>
      <c r="I41" s="155">
        <v>1481.4184903922746</v>
      </c>
      <c r="J41" s="155">
        <v>1571.1184903922747</v>
      </c>
      <c r="K41" s="155">
        <v>157.11184903922748</v>
      </c>
    </row>
    <row r="42" spans="1:15" x14ac:dyDescent="0.25">
      <c r="A42">
        <v>3</v>
      </c>
      <c r="B42" s="219" t="s">
        <v>428</v>
      </c>
      <c r="C42" s="4">
        <v>0.12080215243413754</v>
      </c>
      <c r="D42" s="4">
        <v>0.48590761034879304</v>
      </c>
      <c r="E42" s="4">
        <v>1.3410743485186793</v>
      </c>
      <c r="F42" s="4">
        <v>7.8719301032619995E-2</v>
      </c>
      <c r="G42" s="4">
        <v>0.27777777777777779</v>
      </c>
      <c r="H42" s="4">
        <v>8.2849232905444631E-2</v>
      </c>
      <c r="I42" s="155">
        <v>1321.4675621665499</v>
      </c>
      <c r="J42" s="155">
        <v>1411.1675621665499</v>
      </c>
      <c r="K42" s="155">
        <v>141.11675621665501</v>
      </c>
    </row>
    <row r="43" spans="1:15" x14ac:dyDescent="0.25">
      <c r="A43" s="22">
        <v>4</v>
      </c>
      <c r="B43" s="219" t="s">
        <v>439</v>
      </c>
      <c r="C43" s="4">
        <v>0.14240418696073895</v>
      </c>
      <c r="D43" s="4">
        <v>0.48060655459081192</v>
      </c>
      <c r="E43" s="4">
        <v>1.349983948775908</v>
      </c>
      <c r="F43" s="4">
        <v>9.2393422081616786E-2</v>
      </c>
      <c r="G43" s="4">
        <v>0.27777777777777779</v>
      </c>
      <c r="H43" s="4">
        <v>9.6815381161545241E-2</v>
      </c>
      <c r="I43" s="155">
        <v>1469.8143156871038</v>
      </c>
      <c r="J43" s="155">
        <v>1559.5143156871038</v>
      </c>
      <c r="K43" s="155">
        <v>155.95143156871038</v>
      </c>
    </row>
    <row r="44" spans="1:15" x14ac:dyDescent="0.25">
      <c r="A44" s="22">
        <v>5</v>
      </c>
      <c r="B44" s="219" t="s">
        <v>440</v>
      </c>
      <c r="C44" s="4">
        <v>0.14241941086053803</v>
      </c>
      <c r="D44" s="4">
        <v>0.48240991162011226</v>
      </c>
      <c r="E44" s="4">
        <v>1.3564843447410291</v>
      </c>
      <c r="F44" s="4">
        <v>9.3196626691243997E-2</v>
      </c>
      <c r="G44" s="4">
        <v>0.27777777777777779</v>
      </c>
      <c r="H44" s="4">
        <v>9.7419635213481112E-2</v>
      </c>
      <c r="I44" s="155">
        <v>1480.0668928797782</v>
      </c>
      <c r="J44" s="155">
        <v>1569.7668928797782</v>
      </c>
      <c r="K44" s="155">
        <v>156.97668928797782</v>
      </c>
    </row>
    <row r="45" spans="1:15" x14ac:dyDescent="0.25">
      <c r="A45" s="22">
        <v>6</v>
      </c>
      <c r="B45" s="219" t="s">
        <v>441</v>
      </c>
      <c r="C45" s="4">
        <v>0.12082140170183819</v>
      </c>
      <c r="D45" s="4">
        <v>0.48060834154366189</v>
      </c>
      <c r="E45" s="4">
        <v>1.4008708091059718</v>
      </c>
      <c r="F45" s="4">
        <v>8.1345448838784293E-2</v>
      </c>
      <c r="G45" s="4">
        <v>0.27777777777777779</v>
      </c>
      <c r="H45" s="4">
        <v>8.2644555433374928E-2</v>
      </c>
      <c r="I45" s="155">
        <v>1209.741459402434</v>
      </c>
      <c r="J45" s="155">
        <v>1299.441459402434</v>
      </c>
      <c r="K45" s="155">
        <v>129.9441459402434</v>
      </c>
      <c r="L45" s="233"/>
    </row>
    <row r="46" spans="1:15" x14ac:dyDescent="0.25">
      <c r="A46">
        <v>7</v>
      </c>
      <c r="B46" s="219" t="s">
        <v>442</v>
      </c>
      <c r="C46" s="4">
        <v>0.1424214017018382</v>
      </c>
      <c r="D46" s="4">
        <v>0.48181036614547679</v>
      </c>
      <c r="E46" s="4">
        <v>1.325853978141835</v>
      </c>
      <c r="F46" s="4">
        <v>9.098024277577893E-2</v>
      </c>
      <c r="G46" s="4">
        <v>0.27777777777777779</v>
      </c>
      <c r="H46" s="4">
        <v>9.7498032544259483E-2</v>
      </c>
      <c r="I46" s="155">
        <v>1480.0330230528773</v>
      </c>
      <c r="J46" s="155">
        <v>1569.7330230528773</v>
      </c>
      <c r="K46" s="155">
        <v>156.97330230528775</v>
      </c>
    </row>
    <row r="47" spans="1:15" x14ac:dyDescent="0.25">
      <c r="A47">
        <v>8</v>
      </c>
      <c r="B47" s="219" t="s">
        <v>443</v>
      </c>
      <c r="C47" s="4">
        <v>0.1424214017018382</v>
      </c>
      <c r="D47" s="4">
        <v>0.48650496994773612</v>
      </c>
      <c r="E47" s="4">
        <v>1.3465730950044081</v>
      </c>
      <c r="F47" s="4">
        <v>9.3302325809204667E-2</v>
      </c>
      <c r="G47" s="4">
        <v>0.27777777777777779</v>
      </c>
      <c r="H47" s="4">
        <v>9.857382145713936E-2</v>
      </c>
      <c r="I47" s="155">
        <v>1496.9487195193817</v>
      </c>
      <c r="J47" s="155">
        <v>1586.6487195193818</v>
      </c>
      <c r="K47" s="155">
        <v>158.66487195193818</v>
      </c>
    </row>
    <row r="48" spans="1:15" x14ac:dyDescent="0.25">
      <c r="A48">
        <v>9</v>
      </c>
      <c r="B48" s="219" t="s">
        <v>444</v>
      </c>
      <c r="C48" s="4">
        <v>0.1424214017018382</v>
      </c>
      <c r="D48" s="4">
        <v>0.47863837190296421</v>
      </c>
      <c r="E48" s="4">
        <v>1.3687045201013741</v>
      </c>
      <c r="F48" s="4">
        <v>9.3302325809204667E-2</v>
      </c>
      <c r="G48" s="4">
        <v>0.27777777777777779</v>
      </c>
      <c r="H48" s="4">
        <v>9.6388131514876754E-2</v>
      </c>
      <c r="I48" s="155">
        <v>1465.004187927387</v>
      </c>
      <c r="J48" s="155">
        <v>1554.704187927387</v>
      </c>
      <c r="K48" s="155">
        <v>155.47041879273871</v>
      </c>
    </row>
    <row r="49" spans="1:11" x14ac:dyDescent="0.25">
      <c r="A49">
        <v>10</v>
      </c>
      <c r="B49" s="219" t="s">
        <v>445</v>
      </c>
      <c r="C49" s="4">
        <v>0.1424214017018382</v>
      </c>
      <c r="D49" s="4">
        <v>0.48264509209526663</v>
      </c>
      <c r="E49" s="4">
        <v>1.3573421005351076</v>
      </c>
      <c r="F49" s="4">
        <v>9.3302325809204681E-2</v>
      </c>
      <c r="G49" s="4">
        <v>0.27777777777777779</v>
      </c>
      <c r="H49" s="4">
        <v>9.6821765162449516E-2</v>
      </c>
      <c r="I49" s="155">
        <v>1471.4653874841072</v>
      </c>
      <c r="J49" s="155">
        <v>1561.1653874841072</v>
      </c>
      <c r="K49" s="155">
        <v>156.11653874841073</v>
      </c>
    </row>
    <row r="50" spans="1:11" x14ac:dyDescent="0.25">
      <c r="A50">
        <v>11</v>
      </c>
      <c r="B50" s="219" t="s">
        <v>446</v>
      </c>
      <c r="C50" s="4">
        <v>0.1424214017018382</v>
      </c>
      <c r="D50" s="4">
        <v>0.49075515721748481</v>
      </c>
      <c r="E50" s="4">
        <v>1.3349110925944416</v>
      </c>
      <c r="F50" s="4">
        <v>9.3302325809204667E-2</v>
      </c>
      <c r="G50" s="4">
        <v>0.27777777777777779</v>
      </c>
      <c r="H50" s="4">
        <v>9.9375471357029926E-2</v>
      </c>
      <c r="I50" s="155">
        <v>1506.000938650136</v>
      </c>
      <c r="J50" s="155">
        <v>1595.7009386501361</v>
      </c>
      <c r="K50" s="155">
        <v>159.5700938650136</v>
      </c>
    </row>
    <row r="51" spans="1:11" x14ac:dyDescent="0.25">
      <c r="A51">
        <v>12</v>
      </c>
      <c r="B51" s="219" t="s">
        <v>447</v>
      </c>
      <c r="C51" s="4">
        <v>0.1424214017018382</v>
      </c>
      <c r="D51" s="4">
        <v>0.48264509209526663</v>
      </c>
      <c r="E51" s="4">
        <v>1.3573421005351076</v>
      </c>
      <c r="F51" s="4">
        <v>9.3302325809204681E-2</v>
      </c>
      <c r="G51" s="4">
        <v>0.27777777777777779</v>
      </c>
      <c r="H51" s="4">
        <v>9.7498032544259483E-2</v>
      </c>
      <c r="I51" s="155">
        <v>1676.6483005061318</v>
      </c>
      <c r="J51" s="155">
        <v>1766.3483005061319</v>
      </c>
      <c r="K51" s="155">
        <v>176.63483005061317</v>
      </c>
    </row>
    <row r="52" spans="1:11" x14ac:dyDescent="0.25">
      <c r="A52">
        <v>13</v>
      </c>
      <c r="B52" s="219" t="s">
        <v>448</v>
      </c>
      <c r="C52" s="4">
        <v>0.1424214017018382</v>
      </c>
      <c r="D52" s="4">
        <v>0.48264509209526663</v>
      </c>
      <c r="E52" s="4">
        <v>1.3573421005351076</v>
      </c>
      <c r="F52" s="4">
        <v>9.3302325809204681E-2</v>
      </c>
      <c r="G52" s="4">
        <v>0.30864197530864196</v>
      </c>
      <c r="H52" s="4">
        <v>9.7498032544259483E-2</v>
      </c>
      <c r="I52" s="155">
        <v>1426.2134890750172</v>
      </c>
      <c r="J52" s="155">
        <v>1515.9134890750172</v>
      </c>
      <c r="K52" s="155">
        <v>151.59134890750173</v>
      </c>
    </row>
    <row r="53" spans="1:11" x14ac:dyDescent="0.25">
      <c r="A53">
        <v>14</v>
      </c>
      <c r="B53" s="219" t="s">
        <v>449</v>
      </c>
      <c r="C53" s="4">
        <v>0.1424214017018382</v>
      </c>
      <c r="D53" s="4">
        <v>0.48264509209526663</v>
      </c>
      <c r="E53" s="4">
        <v>1.3573421005351076</v>
      </c>
      <c r="F53" s="4">
        <v>9.3302325809204681E-2</v>
      </c>
      <c r="G53" s="4">
        <v>0.25000000000000006</v>
      </c>
      <c r="H53" s="4">
        <v>9.7498032544259483E-2</v>
      </c>
      <c r="I53" s="155">
        <v>1481.4184903922751</v>
      </c>
      <c r="J53" s="155">
        <v>1571.1184903922751</v>
      </c>
      <c r="K53" s="155">
        <v>157.11184903922751</v>
      </c>
    </row>
    <row r="54" spans="1:11" x14ac:dyDescent="0.25">
      <c r="A54">
        <v>15</v>
      </c>
      <c r="B54" s="219" t="s">
        <v>450</v>
      </c>
      <c r="C54" s="4">
        <v>0.14243844429597777</v>
      </c>
      <c r="D54" s="4">
        <v>0.48468226418762883</v>
      </c>
      <c r="E54" s="4">
        <v>1.3647695637438302</v>
      </c>
      <c r="F54" s="4">
        <v>9.4220125477972566E-2</v>
      </c>
      <c r="G54" s="4">
        <v>0.27777777777777779</v>
      </c>
      <c r="H54" s="4">
        <v>9.8184781272892888E-2</v>
      </c>
      <c r="I54" s="155">
        <v>1493.1662958119734</v>
      </c>
      <c r="J54" s="155">
        <v>1582.8662958119735</v>
      </c>
      <c r="K54" s="155">
        <v>158.28662958119736</v>
      </c>
    </row>
    <row r="55" spans="1:11" x14ac:dyDescent="0.25">
      <c r="A55">
        <v>16</v>
      </c>
      <c r="B55" s="219" t="s">
        <v>451</v>
      </c>
      <c r="C55" s="4">
        <v>0.14242339540461663</v>
      </c>
      <c r="D55" s="4">
        <v>0.48288091970572472</v>
      </c>
      <c r="E55" s="4">
        <v>1.3582030447507702</v>
      </c>
      <c r="F55" s="4">
        <v>9.3408431644407292E-2</v>
      </c>
      <c r="G55" s="4">
        <v>0.27777777777777779</v>
      </c>
      <c r="H55" s="4">
        <v>9.7576725227857625E-2</v>
      </c>
      <c r="I55" s="155">
        <v>1482.7756759171309</v>
      </c>
      <c r="J55" s="155">
        <v>1572.475675917131</v>
      </c>
      <c r="K55" s="155">
        <v>157.24756759171311</v>
      </c>
    </row>
    <row r="56" spans="1:11" x14ac:dyDescent="0.25">
      <c r="A56">
        <v>17</v>
      </c>
      <c r="B56" s="219" t="s">
        <v>452</v>
      </c>
      <c r="C56" s="4">
        <v>0.16402140170183824</v>
      </c>
      <c r="D56" s="4">
        <v>0.482674174828918</v>
      </c>
      <c r="E56" s="4">
        <v>1.3216209190273149</v>
      </c>
      <c r="F56" s="4">
        <v>0.10463126739917107</v>
      </c>
      <c r="G56" s="4">
        <v>0.27777777777777779</v>
      </c>
      <c r="H56" s="4">
        <v>0.11240807678418648</v>
      </c>
      <c r="I56" s="155">
        <v>1752.5498636375007</v>
      </c>
      <c r="J56" s="155">
        <v>1842.2498636375008</v>
      </c>
      <c r="K56" s="155">
        <v>184.22498636375008</v>
      </c>
    </row>
    <row r="57" spans="1:11" x14ac:dyDescent="0.25">
      <c r="A57">
        <v>18</v>
      </c>
      <c r="B57" s="219" t="s">
        <v>453</v>
      </c>
      <c r="C57" s="4">
        <v>0.1424214017018382</v>
      </c>
      <c r="D57" s="4">
        <v>0.48264509209526663</v>
      </c>
      <c r="E57" s="4">
        <v>1.3928928165816237</v>
      </c>
      <c r="F57" s="4">
        <v>9.5746046143241989E-2</v>
      </c>
      <c r="G57" s="4">
        <v>0.27777777777777779</v>
      </c>
      <c r="H57" s="4">
        <v>9.7498032544259497E-2</v>
      </c>
      <c r="I57" s="155">
        <v>1482.8057287800571</v>
      </c>
      <c r="J57" s="155">
        <v>1572.5057287800571</v>
      </c>
      <c r="K57" s="155">
        <v>157.2505728780057</v>
      </c>
    </row>
    <row r="58" spans="1:11" x14ac:dyDescent="0.25">
      <c r="A58">
        <v>19</v>
      </c>
      <c r="B58" s="219" t="s">
        <v>454</v>
      </c>
      <c r="C58" s="4">
        <v>0.1424214017018382</v>
      </c>
      <c r="D58" s="4">
        <v>0.47884597984254512</v>
      </c>
      <c r="E58" s="4">
        <v>1.3681111060658073</v>
      </c>
      <c r="F58" s="4">
        <v>9.3302325809204667E-2</v>
      </c>
      <c r="G58" s="4">
        <v>0.27777777777777779</v>
      </c>
      <c r="H58" s="4">
        <v>9.6445471454966236E-2</v>
      </c>
      <c r="I58" s="155">
        <v>1465.8621460436045</v>
      </c>
      <c r="J58" s="155">
        <v>1555.5621460436046</v>
      </c>
      <c r="K58" s="155">
        <v>155.55621460436046</v>
      </c>
    </row>
    <row r="59" spans="1:11" x14ac:dyDescent="0.25">
      <c r="A59">
        <v>20</v>
      </c>
      <c r="B59" s="219" t="s">
        <v>455</v>
      </c>
      <c r="C59" s="4">
        <v>0.1424214017018382</v>
      </c>
      <c r="D59" s="4">
        <v>0.4859735568702413</v>
      </c>
      <c r="E59" s="4">
        <v>1.3480455754354352</v>
      </c>
      <c r="F59" s="4">
        <v>9.3302325809204667E-2</v>
      </c>
      <c r="G59" s="4">
        <v>0.27777777777777779</v>
      </c>
      <c r="H59" s="4">
        <v>9.8425326396646251E-2</v>
      </c>
      <c r="I59" s="155">
        <v>1494.8267932556844</v>
      </c>
      <c r="J59" s="155">
        <v>1584.5267932556844</v>
      </c>
      <c r="K59" s="155">
        <v>158.45267932556845</v>
      </c>
    </row>
    <row r="60" spans="1:11" x14ac:dyDescent="0.25">
      <c r="A60">
        <v>21</v>
      </c>
      <c r="B60" s="219" t="s">
        <v>456</v>
      </c>
      <c r="C60" s="4">
        <v>0.1424214017018382</v>
      </c>
      <c r="D60" s="4">
        <v>0.48264509209526663</v>
      </c>
      <c r="E60" s="4">
        <v>1.3573421005351076</v>
      </c>
      <c r="F60" s="4">
        <v>9.3302325809204681E-2</v>
      </c>
      <c r="G60" s="4">
        <v>0.27777777777777779</v>
      </c>
      <c r="H60" s="4">
        <v>9.8183813373547632E-2</v>
      </c>
      <c r="I60" s="155">
        <v>1491.3608971891592</v>
      </c>
      <c r="J60" s="155">
        <v>1581.0608971891593</v>
      </c>
      <c r="K60" s="155">
        <v>158.10608971891594</v>
      </c>
    </row>
    <row r="61" spans="1:11" x14ac:dyDescent="0.25">
      <c r="A61">
        <v>22</v>
      </c>
      <c r="B61" s="219" t="s">
        <v>457</v>
      </c>
      <c r="C61" s="4">
        <v>0.1424214017018382</v>
      </c>
      <c r="D61" s="4">
        <v>0.47479871805970358</v>
      </c>
      <c r="E61" s="4">
        <v>1.3797731084757736</v>
      </c>
      <c r="F61" s="4">
        <v>9.3302325809204681E-2</v>
      </c>
      <c r="G61" s="4">
        <v>0.27777777777777779</v>
      </c>
      <c r="H61" s="4">
        <v>9.5690216945079343E-2</v>
      </c>
      <c r="I61" s="155">
        <v>1456.7884405968366</v>
      </c>
      <c r="J61" s="155">
        <v>1546.4884405968367</v>
      </c>
      <c r="K61" s="155">
        <v>154.64884405968365</v>
      </c>
    </row>
    <row r="62" spans="1:11" x14ac:dyDescent="0.25">
      <c r="A62">
        <v>23</v>
      </c>
      <c r="B62" s="219" t="s">
        <v>458</v>
      </c>
      <c r="C62" s="4">
        <v>0.1424214017018382</v>
      </c>
      <c r="D62" s="4">
        <v>0.48264509209526663</v>
      </c>
      <c r="E62" s="4">
        <v>1.3573421005351076</v>
      </c>
      <c r="F62" s="4">
        <v>9.3302325809204681E-2</v>
      </c>
      <c r="G62" s="4">
        <v>0.27777777777777779</v>
      </c>
      <c r="H62" s="4">
        <v>9.7498032544259483E-2</v>
      </c>
      <c r="I62" s="155">
        <v>1333.6770124682751</v>
      </c>
      <c r="J62" s="155">
        <v>1423.3770124682751</v>
      </c>
      <c r="K62" s="155">
        <v>142.33770124682752</v>
      </c>
    </row>
    <row r="63" spans="1:11" x14ac:dyDescent="0.25">
      <c r="A63">
        <v>24</v>
      </c>
      <c r="B63" s="219" t="s">
        <v>459</v>
      </c>
      <c r="C63" s="4">
        <v>0.1424214017018382</v>
      </c>
      <c r="D63" s="4">
        <v>0.48264509209526663</v>
      </c>
      <c r="E63" s="4">
        <v>1.3573421005351076</v>
      </c>
      <c r="F63" s="4">
        <v>9.3302325809204681E-2</v>
      </c>
      <c r="G63" s="4">
        <v>0.25252525252525254</v>
      </c>
      <c r="H63" s="4">
        <v>9.7498032544259483E-2</v>
      </c>
      <c r="I63" s="155">
        <v>1526.5862187427581</v>
      </c>
      <c r="J63" s="155">
        <v>1616.2862187427581</v>
      </c>
      <c r="K63" s="155">
        <v>161.62862187427581</v>
      </c>
    </row>
    <row r="64" spans="1:11" x14ac:dyDescent="0.25">
      <c r="A64">
        <v>25</v>
      </c>
      <c r="B64" s="219" t="s">
        <v>460</v>
      </c>
      <c r="C64" s="4">
        <v>0.1424214017018382</v>
      </c>
      <c r="D64" s="4">
        <v>0.48264509209526663</v>
      </c>
      <c r="E64" s="4">
        <v>1.3573421005351076</v>
      </c>
      <c r="F64" s="4">
        <v>9.3302325809204681E-2</v>
      </c>
      <c r="G64" s="4">
        <v>0.30555555555555558</v>
      </c>
      <c r="H64" s="4">
        <v>9.7498032544259483E-2</v>
      </c>
      <c r="I64" s="155">
        <v>1481.4184903922751</v>
      </c>
      <c r="J64" s="155">
        <v>1571.1184903922751</v>
      </c>
      <c r="K64" s="155">
        <v>157.11184903922751</v>
      </c>
    </row>
    <row r="65" spans="1:11" x14ac:dyDescent="0.25">
      <c r="A65">
        <v>26</v>
      </c>
      <c r="B65" s="219" t="s">
        <v>409</v>
      </c>
      <c r="C65" s="4">
        <v>0.1424214017018382</v>
      </c>
      <c r="D65" s="4">
        <v>0.48264509209526663</v>
      </c>
      <c r="E65" s="4">
        <v>1.3573421005351076</v>
      </c>
      <c r="F65" s="4">
        <v>9.3302325809204681E-2</v>
      </c>
      <c r="G65" s="4">
        <v>0.28125</v>
      </c>
      <c r="H65" s="4">
        <v>9.7498032544259483E-2</v>
      </c>
      <c r="I65" s="155">
        <v>1424.1278933569101</v>
      </c>
      <c r="J65" s="155">
        <v>1513.8278933569102</v>
      </c>
      <c r="K65" s="155">
        <v>151.38278933569103</v>
      </c>
    </row>
    <row r="67" spans="1:11" x14ac:dyDescent="0.25">
      <c r="A67" s="2" t="s">
        <v>419</v>
      </c>
      <c r="I67" t="str">
        <f>"Tornado Diagram: Impact on Share Price (Base Case: " &amp; TEXT(K41,"$0.00") &amp; ")"</f>
        <v>Tornado Diagram: Impact on Share Price (Base Case: $157.11)</v>
      </c>
    </row>
    <row r="68" spans="1:11" ht="31.5" x14ac:dyDescent="0.25">
      <c r="C68" s="249" t="s">
        <v>378</v>
      </c>
      <c r="D68" s="249"/>
    </row>
    <row r="69" spans="1:11" x14ac:dyDescent="0.25">
      <c r="B69" s="2" t="s">
        <v>426</v>
      </c>
      <c r="C69" s="251" t="s">
        <v>420</v>
      </c>
      <c r="D69" s="251" t="s">
        <v>421</v>
      </c>
      <c r="E69" t="s">
        <v>422</v>
      </c>
      <c r="F69" t="s">
        <v>423</v>
      </c>
      <c r="G69" t="s">
        <v>424</v>
      </c>
      <c r="H69" t="s">
        <v>425</v>
      </c>
      <c r="I69" s="2"/>
      <c r="J69" s="251" t="str">
        <f>TEXT($C$4,"0.0%") &amp; " Decrease in Parameter"</f>
        <v>10.0% Decrease in Parameter</v>
      </c>
      <c r="K69" s="251" t="str">
        <f>TEXT($C$4,"0.0%") &amp; " Increase in Parameter"</f>
        <v>10.0% Increase in Parameter</v>
      </c>
    </row>
    <row r="70" spans="1:11" x14ac:dyDescent="0.25">
      <c r="B70" t="str">
        <f t="array" ref="B70:B80">TRANSPOSE(C5:M5)</f>
        <v>Sales Volumn Growth (Flat)</v>
      </c>
      <c r="C70" s="217">
        <f>(K43-$K$41)/$K$41</f>
        <v>-7.3859322362590987E-3</v>
      </c>
      <c r="D70" s="217">
        <f>(K54-$K$41)/$K$41</f>
        <v>7.4773516393188333E-3</v>
      </c>
      <c r="E70" s="217">
        <f>ABS(C70)+ABS(D70)</f>
        <v>1.4863283875577931E-2</v>
      </c>
      <c r="F70">
        <f>ROWS(F$70:F70)</f>
        <v>1</v>
      </c>
      <c r="G70" s="217">
        <f>SMALL($E$70:$E$80,F70)</f>
        <v>3.6180223966822149E-16</v>
      </c>
      <c r="H70">
        <f>MATCH(G70,$E$70:$E$80,0)</f>
        <v>11</v>
      </c>
      <c r="I70" t="str">
        <f>INDEX($B$70:$D$80,$H70,1)</f>
        <v>Growth Rate (stable period)</v>
      </c>
      <c r="J70" s="217">
        <f>INDEX($B$70:$D$80,$H70,2)</f>
        <v>1.8090111983411075E-16</v>
      </c>
      <c r="K70" s="217">
        <f>INDEX($B$70:$D$80,$H70,3)</f>
        <v>1.8090111983411075E-16</v>
      </c>
    </row>
    <row r="71" spans="1:11" x14ac:dyDescent="0.25">
      <c r="B71" t="str">
        <v>Sales Volumn Growth (Rolled)</v>
      </c>
      <c r="C71" s="217">
        <f t="shared" ref="C71:C80" si="7">(K44-$K$41)/$K$41</f>
        <v>-8.6027726155723052E-4</v>
      </c>
      <c r="D71" s="217">
        <f t="shared" ref="D71:D80" si="8">(K55-$K$41)/$K$41</f>
        <v>8.6383397124771707E-4</v>
      </c>
      <c r="E71" s="217">
        <f t="shared" ref="E71:E80" si="9">ABS(C71)+ABS(D71)</f>
        <v>1.7241112328049476E-3</v>
      </c>
      <c r="F71" s="22">
        <f>ROWS(F$70:F71)</f>
        <v>2</v>
      </c>
      <c r="G71" s="217">
        <f t="shared" ref="G71:G80" si="10">SMALL($E$70:$E$80,F71)</f>
        <v>1.7241112328049476E-3</v>
      </c>
      <c r="H71" s="22">
        <f t="shared" ref="H71:H80" si="11">MATCH(G71,$E$70:$E$80,0)</f>
        <v>2</v>
      </c>
      <c r="I71" s="22" t="str">
        <f t="shared" ref="I71:I80" si="12">INDEX($B$70:$D$80,$H71,1)</f>
        <v>Sales Volumn Growth (Rolled)</v>
      </c>
      <c r="J71" s="217">
        <f t="shared" ref="J71:J80" si="13">INDEX($B$70:$D$80,$H71,2)</f>
        <v>-8.6027726155723052E-4</v>
      </c>
      <c r="K71" s="217">
        <f t="shared" ref="K71:K80" si="14">INDEX($B$70:$D$80,$H71,3)</f>
        <v>8.6383397124771707E-4</v>
      </c>
    </row>
    <row r="72" spans="1:11" x14ac:dyDescent="0.25">
      <c r="B72" t="str">
        <v>Gross Profit Margin</v>
      </c>
      <c r="C72" s="217">
        <f t="shared" si="7"/>
        <v>-0.17291950457664643</v>
      </c>
      <c r="D72" s="217">
        <f t="shared" si="8"/>
        <v>0.17257219929830389</v>
      </c>
      <c r="E72" s="217">
        <f t="shared" si="9"/>
        <v>0.34549170387495032</v>
      </c>
      <c r="F72" s="22">
        <f>ROWS(F$70:F72)</f>
        <v>3</v>
      </c>
      <c r="G72" s="217">
        <f t="shared" si="10"/>
        <v>1.7647973365059449E-3</v>
      </c>
      <c r="H72" s="22">
        <f t="shared" si="11"/>
        <v>4</v>
      </c>
      <c r="I72" s="22" t="str">
        <f t="shared" si="12"/>
        <v>Dividend Payout Ratio</v>
      </c>
      <c r="J72" s="217">
        <f t="shared" si="13"/>
        <v>-8.8183504164056749E-4</v>
      </c>
      <c r="K72" s="217">
        <f t="shared" si="14"/>
        <v>8.8296229486537739E-4</v>
      </c>
    </row>
    <row r="73" spans="1:11" x14ac:dyDescent="0.25">
      <c r="B73" t="str">
        <v>Dividend Payout Ratio</v>
      </c>
      <c r="C73" s="217">
        <f t="shared" si="7"/>
        <v>-8.8183504164056749E-4</v>
      </c>
      <c r="D73" s="217">
        <f t="shared" si="8"/>
        <v>8.8296229486537739E-4</v>
      </c>
      <c r="E73" s="217">
        <f t="shared" si="9"/>
        <v>1.7647973365059449E-3</v>
      </c>
      <c r="F73" s="22">
        <f>ROWS(F$70:F73)</f>
        <v>4</v>
      </c>
      <c r="G73" s="217">
        <f t="shared" si="10"/>
        <v>1.2663277675565118E-2</v>
      </c>
      <c r="H73" s="22">
        <f t="shared" si="11"/>
        <v>7</v>
      </c>
      <c r="I73" s="22" t="str">
        <f t="shared" si="12"/>
        <v>Days Payables Outstanding</v>
      </c>
      <c r="J73" s="217">
        <f t="shared" si="13"/>
        <v>-6.3350428176059395E-3</v>
      </c>
      <c r="K73" s="217">
        <f t="shared" si="14"/>
        <v>6.3282348579591797E-3</v>
      </c>
    </row>
    <row r="74" spans="1:11" x14ac:dyDescent="0.25">
      <c r="B74" t="str">
        <v>Days Sales Outstanding</v>
      </c>
      <c r="C74" s="217">
        <f t="shared" si="7"/>
        <v>9.8848235967418686E-3</v>
      </c>
      <c r="D74" s="217">
        <f t="shared" si="8"/>
        <v>-9.9014456540359851E-3</v>
      </c>
      <c r="E74" s="217">
        <f t="shared" si="9"/>
        <v>1.9786269250777852E-2</v>
      </c>
      <c r="F74" s="22">
        <f>ROWS(F$70:F74)</f>
        <v>5</v>
      </c>
      <c r="G74" s="217">
        <f t="shared" si="10"/>
        <v>1.4863283875577931E-2</v>
      </c>
      <c r="H74" s="22">
        <f t="shared" si="11"/>
        <v>1</v>
      </c>
      <c r="I74" s="22" t="str">
        <f t="shared" si="12"/>
        <v>Sales Volumn Growth (Flat)</v>
      </c>
      <c r="J74" s="217">
        <f t="shared" si="13"/>
        <v>-7.3859322362590987E-3</v>
      </c>
      <c r="K74" s="217">
        <f t="shared" si="14"/>
        <v>7.4773516393188333E-3</v>
      </c>
    </row>
    <row r="75" spans="1:11" x14ac:dyDescent="0.25">
      <c r="B75" t="str">
        <v>Inventory Turns</v>
      </c>
      <c r="C75" s="217">
        <f t="shared" si="7"/>
        <v>-1.0447526755788717E-2</v>
      </c>
      <c r="D75" s="217">
        <f t="shared" si="8"/>
        <v>8.5342403805978868E-3</v>
      </c>
      <c r="E75" s="217">
        <f t="shared" si="9"/>
        <v>1.8981767136386603E-2</v>
      </c>
      <c r="F75" s="22">
        <f>ROWS(F$70:F75)</f>
        <v>6</v>
      </c>
      <c r="G75" s="217">
        <f t="shared" si="10"/>
        <v>1.8981767136386603E-2</v>
      </c>
      <c r="H75" s="22">
        <f t="shared" si="11"/>
        <v>6</v>
      </c>
      <c r="I75" s="22" t="str">
        <f t="shared" si="12"/>
        <v>Inventory Turns</v>
      </c>
      <c r="J75" s="217">
        <f t="shared" si="13"/>
        <v>-1.0447526755788717E-2</v>
      </c>
      <c r="K75" s="217">
        <f t="shared" si="14"/>
        <v>8.5342403805978868E-3</v>
      </c>
    </row>
    <row r="76" spans="1:11" x14ac:dyDescent="0.25">
      <c r="B76" t="str">
        <v>Days Payables Outstanding</v>
      </c>
      <c r="C76" s="217">
        <f t="shared" si="7"/>
        <v>-6.3350428176059395E-3</v>
      </c>
      <c r="D76" s="217">
        <f t="shared" si="8"/>
        <v>6.3282348579591797E-3</v>
      </c>
      <c r="E76" s="217">
        <f t="shared" si="9"/>
        <v>1.2663277675565118E-2</v>
      </c>
      <c r="F76" s="22">
        <f>ROWS(F$70:F76)</f>
        <v>7</v>
      </c>
      <c r="G76" s="217">
        <f t="shared" si="10"/>
        <v>1.9786269250777852E-2</v>
      </c>
      <c r="H76" s="22">
        <f t="shared" si="11"/>
        <v>5</v>
      </c>
      <c r="I76" s="22" t="str">
        <f t="shared" si="12"/>
        <v>Days Sales Outstanding</v>
      </c>
      <c r="J76" s="217">
        <f t="shared" si="13"/>
        <v>9.8848235967418686E-3</v>
      </c>
      <c r="K76" s="217">
        <f t="shared" si="14"/>
        <v>-9.9014456540359851E-3</v>
      </c>
    </row>
    <row r="77" spans="1:11" x14ac:dyDescent="0.25">
      <c r="B77" t="str">
        <v>Capital expenditures as % of sales</v>
      </c>
      <c r="C77" s="217">
        <f t="shared" si="7"/>
        <v>1.5646463591503866E-2</v>
      </c>
      <c r="D77" s="217">
        <f t="shared" si="8"/>
        <v>-1.5676761457557958E-2</v>
      </c>
      <c r="E77" s="217">
        <f t="shared" si="9"/>
        <v>3.132322504906182E-2</v>
      </c>
      <c r="F77" s="22">
        <f>ROWS(F$70:F77)</f>
        <v>8</v>
      </c>
      <c r="G77" s="217">
        <f t="shared" si="10"/>
        <v>3.132322504906182E-2</v>
      </c>
      <c r="H77" s="22">
        <f t="shared" si="11"/>
        <v>8</v>
      </c>
      <c r="I77" s="22" t="str">
        <f t="shared" si="12"/>
        <v>Capital expenditures as % of sales</v>
      </c>
      <c r="J77" s="217">
        <f t="shared" si="13"/>
        <v>1.5646463591503866E-2</v>
      </c>
      <c r="K77" s="217">
        <f t="shared" si="14"/>
        <v>-1.5676761457557958E-2</v>
      </c>
    </row>
    <row r="78" spans="1:11" x14ac:dyDescent="0.25">
      <c r="B78" t="str">
        <v>WACC (stable period)</v>
      </c>
      <c r="C78" s="217">
        <f t="shared" si="7"/>
        <v>0.1242616717375099</v>
      </c>
      <c r="D78" s="217">
        <f t="shared" si="8"/>
        <v>-9.4035859693250567E-2</v>
      </c>
      <c r="E78" s="217">
        <f t="shared" si="9"/>
        <v>0.21829753143076047</v>
      </c>
      <c r="F78" s="22">
        <f>ROWS(F$70:F78)</f>
        <v>9</v>
      </c>
      <c r="G78" s="217">
        <f t="shared" si="10"/>
        <v>6.3886161534945654E-2</v>
      </c>
      <c r="H78" s="22">
        <f t="shared" si="11"/>
        <v>10</v>
      </c>
      <c r="I78" s="22" t="str">
        <f t="shared" si="12"/>
        <v>ROIC (stable period)</v>
      </c>
      <c r="J78" s="217">
        <f t="shared" si="13"/>
        <v>-3.5137388844220165E-2</v>
      </c>
      <c r="K78" s="217">
        <f t="shared" si="14"/>
        <v>2.874877269072549E-2</v>
      </c>
    </row>
    <row r="79" spans="1:11" x14ac:dyDescent="0.25">
      <c r="B79" t="str">
        <v>ROIC (stable period)</v>
      </c>
      <c r="C79" s="217">
        <f t="shared" si="7"/>
        <v>-3.5137388844220165E-2</v>
      </c>
      <c r="D79" s="217">
        <f t="shared" si="8"/>
        <v>2.874877269072549E-2</v>
      </c>
      <c r="E79" s="217">
        <f t="shared" si="9"/>
        <v>6.3886161534945654E-2</v>
      </c>
      <c r="F79" s="22">
        <f>ROWS(F$70:F79)</f>
        <v>10</v>
      </c>
      <c r="G79" s="217">
        <f t="shared" si="10"/>
        <v>0.21829753143076047</v>
      </c>
      <c r="H79" s="22">
        <f t="shared" si="11"/>
        <v>9</v>
      </c>
      <c r="I79" s="22" t="str">
        <f t="shared" si="12"/>
        <v>WACC (stable period)</v>
      </c>
      <c r="J79" s="217">
        <f t="shared" si="13"/>
        <v>0.1242616717375099</v>
      </c>
      <c r="K79" s="217">
        <f t="shared" si="14"/>
        <v>-9.4035859693250567E-2</v>
      </c>
    </row>
    <row r="80" spans="1:11" x14ac:dyDescent="0.25">
      <c r="B80" t="str">
        <v>Growth Rate (stable period)</v>
      </c>
      <c r="C80" s="217">
        <f t="shared" si="7"/>
        <v>1.8090111983411075E-16</v>
      </c>
      <c r="D80" s="217">
        <f t="shared" si="8"/>
        <v>1.8090111983411075E-16</v>
      </c>
      <c r="E80" s="217">
        <f t="shared" si="9"/>
        <v>3.6180223966822149E-16</v>
      </c>
      <c r="F80" s="22">
        <f>ROWS(F$70:F80)</f>
        <v>11</v>
      </c>
      <c r="G80" s="217">
        <f t="shared" si="10"/>
        <v>0.34549170387495032</v>
      </c>
      <c r="H80" s="22">
        <f t="shared" si="11"/>
        <v>3</v>
      </c>
      <c r="I80" s="22" t="str">
        <f t="shared" si="12"/>
        <v>Gross Profit Margin</v>
      </c>
      <c r="J80" s="217">
        <f t="shared" si="13"/>
        <v>-0.17291950457664643</v>
      </c>
      <c r="K80" s="217">
        <f t="shared" si="14"/>
        <v>0.17257219929830389</v>
      </c>
    </row>
    <row r="82" spans="2:4" x14ac:dyDescent="0.25">
      <c r="C82" s="249" t="s">
        <v>373</v>
      </c>
      <c r="D82" s="250"/>
    </row>
    <row r="83" spans="2:4" x14ac:dyDescent="0.25">
      <c r="C83" s="22" t="s">
        <v>420</v>
      </c>
      <c r="D83" s="22" t="s">
        <v>421</v>
      </c>
    </row>
    <row r="84" spans="2:4" x14ac:dyDescent="0.25">
      <c r="B84" t="s">
        <v>413</v>
      </c>
      <c r="C84" s="155">
        <f t="shared" ref="C84:C94" si="15">I43-$I$41</f>
        <v>-11.604174705170863</v>
      </c>
      <c r="D84" s="155">
        <f t="shared" ref="D84:D94" si="16">I54-$I$41</f>
        <v>11.747805419698807</v>
      </c>
    </row>
    <row r="85" spans="2:4" x14ac:dyDescent="0.25">
      <c r="B85" t="s">
        <v>414</v>
      </c>
      <c r="C85" s="155">
        <f t="shared" si="15"/>
        <v>-1.3515975124964825</v>
      </c>
      <c r="D85" s="155">
        <f t="shared" si="16"/>
        <v>1.357185524856277</v>
      </c>
    </row>
    <row r="86" spans="2:4" x14ac:dyDescent="0.25">
      <c r="B86" t="s">
        <v>282</v>
      </c>
      <c r="C86" s="155">
        <f t="shared" si="15"/>
        <v>-271.67703098984066</v>
      </c>
      <c r="D86" s="155">
        <f t="shared" si="16"/>
        <v>271.13137324522609</v>
      </c>
    </row>
    <row r="87" spans="2:4" x14ac:dyDescent="0.25">
      <c r="B87" t="s">
        <v>268</v>
      </c>
      <c r="C87" s="155">
        <f t="shared" si="15"/>
        <v>-1.3854673393973371</v>
      </c>
      <c r="D87" s="155">
        <f t="shared" si="16"/>
        <v>1.3872383877824177</v>
      </c>
    </row>
    <row r="88" spans="2:4" x14ac:dyDescent="0.25">
      <c r="B88" t="s">
        <v>99</v>
      </c>
      <c r="C88" s="155">
        <f t="shared" si="15"/>
        <v>15.530229127107077</v>
      </c>
      <c r="D88" s="155">
        <f t="shared" si="16"/>
        <v>-15.556344348670109</v>
      </c>
    </row>
    <row r="89" spans="2:4" x14ac:dyDescent="0.25">
      <c r="B89" t="s">
        <v>102</v>
      </c>
      <c r="C89" s="155">
        <f t="shared" si="15"/>
        <v>-16.414302464887669</v>
      </c>
      <c r="D89" s="155">
        <f t="shared" si="16"/>
        <v>13.408302863409745</v>
      </c>
    </row>
    <row r="90" spans="2:4" x14ac:dyDescent="0.25">
      <c r="B90" t="s">
        <v>119</v>
      </c>
      <c r="C90" s="155">
        <f t="shared" si="15"/>
        <v>-9.953102908167466</v>
      </c>
      <c r="D90" s="155">
        <f t="shared" si="16"/>
        <v>9.9424067968845975</v>
      </c>
    </row>
    <row r="91" spans="2:4" x14ac:dyDescent="0.25">
      <c r="B91" t="s">
        <v>164</v>
      </c>
      <c r="C91" s="155">
        <f t="shared" si="15"/>
        <v>24.582448257861415</v>
      </c>
      <c r="D91" s="155">
        <f t="shared" si="16"/>
        <v>-24.630049795438026</v>
      </c>
    </row>
    <row r="92" spans="2:4" x14ac:dyDescent="0.25">
      <c r="B92" t="s">
        <v>415</v>
      </c>
      <c r="C92" s="155">
        <f t="shared" si="15"/>
        <v>195.22981011385718</v>
      </c>
      <c r="D92" s="155">
        <f t="shared" si="16"/>
        <v>-147.74147792399958</v>
      </c>
    </row>
    <row r="93" spans="2:4" x14ac:dyDescent="0.25">
      <c r="B93" t="s">
        <v>416</v>
      </c>
      <c r="C93" s="155">
        <f t="shared" si="15"/>
        <v>-55.205001317257484</v>
      </c>
      <c r="D93" s="155">
        <f t="shared" si="16"/>
        <v>45.167728350483458</v>
      </c>
    </row>
    <row r="94" spans="2:4" x14ac:dyDescent="0.25">
      <c r="B94" t="s">
        <v>417</v>
      </c>
      <c r="C94" s="155">
        <f t="shared" si="15"/>
        <v>0</v>
      </c>
      <c r="D94" s="155">
        <f t="shared" si="16"/>
        <v>0</v>
      </c>
    </row>
  </sheetData>
  <conditionalFormatting sqref="C9:M30">
    <cfRule type="expression" dxfId="0" priority="1">
      <formula>C9&lt;&gt;C$7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Drop Down 1">
              <controlPr defaultSize="0" autoLine="0" autoPict="0">
                <anchor moveWithCells="1">
                  <from>
                    <xdr:col>1</xdr:col>
                    <xdr:colOff>1104900</xdr:colOff>
                    <xdr:row>1</xdr:row>
                    <xdr:rowOff>9525</xdr:rowOff>
                  </from>
                  <to>
                    <xdr:col>1</xdr:col>
                    <xdr:colOff>2428875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Spinner 2">
              <controlPr defaultSize="0" autoPict="0">
                <anchor moveWithCells="1" sizeWithCells="1">
                  <from>
                    <xdr:col>2</xdr:col>
                    <xdr:colOff>66675</xdr:colOff>
                    <xdr:row>31</xdr:row>
                    <xdr:rowOff>0</xdr:rowOff>
                  </from>
                  <to>
                    <xdr:col>2</xdr:col>
                    <xdr:colOff>638175</xdr:colOff>
                    <xdr:row>32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Spinner 3">
              <controlPr defaultSize="0" autoPict="0">
                <anchor moveWithCells="1" sizeWithCells="1">
                  <from>
                    <xdr:col>3</xdr:col>
                    <xdr:colOff>66675</xdr:colOff>
                    <xdr:row>31</xdr:row>
                    <xdr:rowOff>0</xdr:rowOff>
                  </from>
                  <to>
                    <xdr:col>3</xdr:col>
                    <xdr:colOff>638175</xdr:colOff>
                    <xdr:row>32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6" name="Spinner 4">
              <controlPr defaultSize="0" autoPict="0">
                <anchor moveWithCells="1" sizeWithCells="1">
                  <from>
                    <xdr:col>4</xdr:col>
                    <xdr:colOff>123825</xdr:colOff>
                    <xdr:row>31</xdr:row>
                    <xdr:rowOff>19050</xdr:rowOff>
                  </from>
                  <to>
                    <xdr:col>5</xdr:col>
                    <xdr:colOff>0</xdr:colOff>
                    <xdr:row>32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r:id="rId7" name="Spinner 5">
              <controlPr defaultSize="0" autoPict="0">
                <anchor moveWithCells="1" sizeWithCells="1">
                  <from>
                    <xdr:col>5</xdr:col>
                    <xdr:colOff>66675</xdr:colOff>
                    <xdr:row>31</xdr:row>
                    <xdr:rowOff>0</xdr:rowOff>
                  </from>
                  <to>
                    <xdr:col>5</xdr:col>
                    <xdr:colOff>638175</xdr:colOff>
                    <xdr:row>32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6" r:id="rId8" name="Spinner 6">
              <controlPr defaultSize="0" autoPict="0">
                <anchor moveWithCells="1" sizeWithCells="1">
                  <from>
                    <xdr:col>6</xdr:col>
                    <xdr:colOff>352425</xdr:colOff>
                    <xdr:row>31</xdr:row>
                    <xdr:rowOff>19050</xdr:rowOff>
                  </from>
                  <to>
                    <xdr:col>6</xdr:col>
                    <xdr:colOff>923925</xdr:colOff>
                    <xdr:row>32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7" r:id="rId9" name="Spinner 7">
              <controlPr defaultSize="0" autoPict="0">
                <anchor moveWithCells="1" sizeWithCells="1">
                  <from>
                    <xdr:col>7</xdr:col>
                    <xdr:colOff>66675</xdr:colOff>
                    <xdr:row>31</xdr:row>
                    <xdr:rowOff>19050</xdr:rowOff>
                  </from>
                  <to>
                    <xdr:col>7</xdr:col>
                    <xdr:colOff>638175</xdr:colOff>
                    <xdr:row>32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8" r:id="rId10" name="Spinner 8">
              <controlPr defaultSize="0" autoPict="0">
                <anchor moveWithCells="1" sizeWithCells="1">
                  <from>
                    <xdr:col>8</xdr:col>
                    <xdr:colOff>295275</xdr:colOff>
                    <xdr:row>31</xdr:row>
                    <xdr:rowOff>9525</xdr:rowOff>
                  </from>
                  <to>
                    <xdr:col>8</xdr:col>
                    <xdr:colOff>866775</xdr:colOff>
                    <xdr:row>32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9" r:id="rId11" name="Spinner 9">
              <controlPr defaultSize="0" autoPict="0">
                <anchor moveWithCells="1" sizeWithCells="1">
                  <from>
                    <xdr:col>9</xdr:col>
                    <xdr:colOff>390525</xdr:colOff>
                    <xdr:row>31</xdr:row>
                    <xdr:rowOff>9525</xdr:rowOff>
                  </from>
                  <to>
                    <xdr:col>9</xdr:col>
                    <xdr:colOff>962025</xdr:colOff>
                    <xdr:row>32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0" r:id="rId12" name="Spinner 10">
              <controlPr defaultSize="0" autoPict="0">
                <anchor moveWithCells="1" sizeWithCells="1">
                  <from>
                    <xdr:col>10</xdr:col>
                    <xdr:colOff>76200</xdr:colOff>
                    <xdr:row>31</xdr:row>
                    <xdr:rowOff>19050</xdr:rowOff>
                  </from>
                  <to>
                    <xdr:col>10</xdr:col>
                    <xdr:colOff>647700</xdr:colOff>
                    <xdr:row>32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1" r:id="rId13" name="Spinner 11">
              <controlPr defaultSize="0" autoPict="0">
                <anchor moveWithCells="1" sizeWithCells="1">
                  <from>
                    <xdr:col>11</xdr:col>
                    <xdr:colOff>85725</xdr:colOff>
                    <xdr:row>31</xdr:row>
                    <xdr:rowOff>19050</xdr:rowOff>
                  </from>
                  <to>
                    <xdr:col>12</xdr:col>
                    <xdr:colOff>0</xdr:colOff>
                    <xdr:row>32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2" r:id="rId14" name="Spinner 12">
              <controlPr defaultSize="0" autoPict="0">
                <anchor moveWithCells="1" sizeWithCells="1">
                  <from>
                    <xdr:col>12</xdr:col>
                    <xdr:colOff>85725</xdr:colOff>
                    <xdr:row>31</xdr:row>
                    <xdr:rowOff>19050</xdr:rowOff>
                  </from>
                  <to>
                    <xdr:col>13</xdr:col>
                    <xdr:colOff>0</xdr:colOff>
                    <xdr:row>32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M63"/>
  <sheetViews>
    <sheetView workbookViewId="0">
      <selection activeCell="I27" sqref="I27:K27"/>
    </sheetView>
  </sheetViews>
  <sheetFormatPr defaultRowHeight="15.75" x14ac:dyDescent="0.25"/>
  <cols>
    <col min="1" max="1" width="2.625" customWidth="1"/>
    <col min="2" max="2" width="43.5" customWidth="1"/>
    <col min="3" max="3" width="14.75" bestFit="1" customWidth="1"/>
    <col min="4" max="13" width="9.5" bestFit="1" customWidth="1"/>
  </cols>
  <sheetData>
    <row r="1" spans="1:13" ht="22.5" x14ac:dyDescent="0.3">
      <c r="A1" s="167" t="str">
        <f>C3</f>
        <v>Inglis' Steel Mills</v>
      </c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</row>
    <row r="2" spans="1:13" x14ac:dyDescent="0.25">
      <c r="A2" s="47"/>
      <c r="B2" s="47"/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</row>
    <row r="3" spans="1:13" x14ac:dyDescent="0.25">
      <c r="A3" s="47"/>
      <c r="B3" s="47" t="s">
        <v>65</v>
      </c>
      <c r="C3" s="48" t="s">
        <v>430</v>
      </c>
      <c r="D3" s="47"/>
      <c r="E3" s="47"/>
      <c r="F3" s="47"/>
      <c r="G3" s="47"/>
      <c r="H3" s="47"/>
      <c r="I3" s="47"/>
      <c r="J3" s="47"/>
      <c r="K3" s="47"/>
      <c r="L3" s="47"/>
      <c r="M3" s="47"/>
    </row>
    <row r="4" spans="1:13" x14ac:dyDescent="0.25">
      <c r="A4" s="47"/>
      <c r="B4" s="47" t="s">
        <v>66</v>
      </c>
      <c r="C4" s="48" t="s">
        <v>431</v>
      </c>
      <c r="D4" s="47"/>
      <c r="E4" s="47"/>
      <c r="F4" s="47"/>
      <c r="G4" s="47"/>
      <c r="H4" s="47"/>
      <c r="I4" s="47"/>
      <c r="J4" s="47"/>
      <c r="K4" s="47"/>
      <c r="L4" s="47"/>
      <c r="M4" s="47"/>
    </row>
    <row r="5" spans="1:13" x14ac:dyDescent="0.25">
      <c r="A5" s="47"/>
      <c r="B5" s="47" t="s">
        <v>67</v>
      </c>
      <c r="C5" s="49">
        <v>44103</v>
      </c>
      <c r="D5" s="47"/>
      <c r="E5" s="47"/>
      <c r="F5" s="47"/>
      <c r="G5" s="47"/>
      <c r="H5" s="47"/>
      <c r="I5" s="47"/>
      <c r="J5" s="47"/>
      <c r="K5" s="47"/>
      <c r="L5" s="47"/>
      <c r="M5" s="47"/>
    </row>
    <row r="6" spans="1:13" x14ac:dyDescent="0.25">
      <c r="A6" s="47"/>
      <c r="B6" s="47" t="s">
        <v>216</v>
      </c>
      <c r="C6" s="204" t="str">
        <f>Model!C6</f>
        <v>ON</v>
      </c>
      <c r="D6" s="152" t="s">
        <v>218</v>
      </c>
      <c r="E6" s="152" t="s">
        <v>217</v>
      </c>
      <c r="F6" s="152" t="s">
        <v>218</v>
      </c>
      <c r="G6" s="47"/>
      <c r="H6" s="47"/>
      <c r="I6" s="47"/>
      <c r="J6" s="47"/>
      <c r="K6" s="47"/>
      <c r="L6" s="47"/>
      <c r="M6" s="47"/>
    </row>
    <row r="7" spans="1:13" x14ac:dyDescent="0.25">
      <c r="A7" s="47"/>
      <c r="B7" s="47"/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</row>
    <row r="8" spans="1:13" x14ac:dyDescent="0.25">
      <c r="A8" s="50" t="s">
        <v>260</v>
      </c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</row>
    <row r="9" spans="1:13" x14ac:dyDescent="0.25">
      <c r="A9" s="52"/>
      <c r="B9" s="52" t="s">
        <v>261</v>
      </c>
      <c r="C9" s="52"/>
      <c r="D9" s="75">
        <f t="shared" ref="D9:M9" si="0">YEAR(D10)</f>
        <v>2016</v>
      </c>
      <c r="E9" s="75">
        <f t="shared" si="0"/>
        <v>2017</v>
      </c>
      <c r="F9" s="75">
        <f t="shared" si="0"/>
        <v>2018</v>
      </c>
      <c r="G9" s="75">
        <f t="shared" si="0"/>
        <v>2019</v>
      </c>
      <c r="H9" s="75">
        <f t="shared" si="0"/>
        <v>2020</v>
      </c>
      <c r="I9" s="106">
        <f t="shared" si="0"/>
        <v>2021</v>
      </c>
      <c r="J9" s="106">
        <f t="shared" si="0"/>
        <v>2022</v>
      </c>
      <c r="K9" s="106">
        <f t="shared" si="0"/>
        <v>2023</v>
      </c>
      <c r="L9" s="106">
        <f t="shared" si="0"/>
        <v>2024</v>
      </c>
      <c r="M9" s="106">
        <f t="shared" si="0"/>
        <v>2025</v>
      </c>
    </row>
    <row r="10" spans="1:13" x14ac:dyDescent="0.25">
      <c r="A10" s="56"/>
      <c r="B10" s="56" t="s">
        <v>262</v>
      </c>
      <c r="C10" s="56" t="s">
        <v>82</v>
      </c>
      <c r="D10" s="23">
        <f>EOMONTH(E10,-12)</f>
        <v>42643</v>
      </c>
      <c r="E10" s="23">
        <f>EOMONTH(F10,-12)</f>
        <v>43008</v>
      </c>
      <c r="F10" s="23">
        <f>EOMONTH(G10,-12)</f>
        <v>43373</v>
      </c>
      <c r="G10" s="23">
        <f>EOMONTH(H10,-12)</f>
        <v>43738</v>
      </c>
      <c r="H10" s="23">
        <f>C5</f>
        <v>44103</v>
      </c>
      <c r="I10" s="90">
        <f>EOMONTH(H10,12)</f>
        <v>44469</v>
      </c>
      <c r="J10" s="90">
        <f>EOMONTH(I10,12)</f>
        <v>44834</v>
      </c>
      <c r="K10" s="90">
        <f>EOMONTH(J10,12)</f>
        <v>45199</v>
      </c>
      <c r="L10" s="90">
        <f>EOMONTH(K10,12)</f>
        <v>45565</v>
      </c>
      <c r="M10" s="90">
        <f>EOMONTH(L10,12)</f>
        <v>45930</v>
      </c>
    </row>
    <row r="11" spans="1:13" x14ac:dyDescent="0.25">
      <c r="A11" s="47"/>
      <c r="B11" s="47"/>
      <c r="C11" s="47"/>
      <c r="D11" s="24"/>
      <c r="E11" s="24"/>
      <c r="F11" s="24"/>
      <c r="G11" s="24"/>
      <c r="H11" s="24"/>
      <c r="I11" s="91"/>
      <c r="J11" s="91"/>
      <c r="K11" s="91"/>
      <c r="L11" s="91"/>
      <c r="M11" s="91"/>
    </row>
    <row r="12" spans="1:13" x14ac:dyDescent="0.25">
      <c r="A12" s="50" t="s">
        <v>263</v>
      </c>
      <c r="B12" s="47"/>
      <c r="C12" s="47"/>
      <c r="D12" s="24"/>
      <c r="E12" s="24"/>
      <c r="F12" s="24"/>
      <c r="G12" s="24"/>
      <c r="H12" s="24"/>
      <c r="I12" s="91"/>
      <c r="J12" s="91"/>
      <c r="K12" s="91"/>
      <c r="L12" s="91"/>
      <c r="M12" s="91"/>
    </row>
    <row r="13" spans="1:13" x14ac:dyDescent="0.25">
      <c r="A13" s="47"/>
      <c r="B13" s="47" t="s">
        <v>264</v>
      </c>
      <c r="C13" s="47"/>
      <c r="D13" s="24"/>
      <c r="E13" s="24"/>
      <c r="F13" s="24"/>
      <c r="G13" s="24"/>
      <c r="H13" s="24"/>
      <c r="I13" s="91"/>
      <c r="J13" s="91"/>
      <c r="K13" s="91"/>
      <c r="L13" s="91"/>
      <c r="M13" s="91"/>
    </row>
    <row r="14" spans="1:13" s="22" customFormat="1" x14ac:dyDescent="0.25">
      <c r="A14" s="47"/>
      <c r="B14" s="47" t="s">
        <v>265</v>
      </c>
      <c r="C14" s="47" t="s">
        <v>92</v>
      </c>
      <c r="D14" s="24"/>
      <c r="E14" s="129">
        <f>Model!E57</f>
        <v>5.3749999999999964E-2</v>
      </c>
      <c r="F14" s="129">
        <f>Model!F57</f>
        <v>2.3724792408066353E-3</v>
      </c>
      <c r="G14" s="129">
        <f>Model!G57</f>
        <v>0.16804733727810661</v>
      </c>
      <c r="H14" s="129">
        <f>Model!H57</f>
        <v>5.4711246200607855E-2</v>
      </c>
      <c r="I14" s="170">
        <f>'Control Panel'!$C$4</f>
        <v>0.03</v>
      </c>
      <c r="J14" s="170">
        <f>'Control Panel'!$C$4</f>
        <v>0.03</v>
      </c>
      <c r="K14" s="170">
        <f>'Control Panel'!$C$4</f>
        <v>0.03</v>
      </c>
      <c r="L14" s="170">
        <f>'Control Panel'!$C$4</f>
        <v>0.03</v>
      </c>
      <c r="M14" s="170">
        <f>'Control Panel'!$C$4</f>
        <v>0.03</v>
      </c>
    </row>
    <row r="15" spans="1:13" s="22" customFormat="1" x14ac:dyDescent="0.25">
      <c r="A15" s="47"/>
      <c r="B15" s="47" t="s">
        <v>266</v>
      </c>
      <c r="C15" s="47" t="s">
        <v>92</v>
      </c>
      <c r="D15" s="24"/>
      <c r="E15" s="129">
        <f>Model!E63</f>
        <v>-2.6762126967385669E-3</v>
      </c>
      <c r="F15" s="129">
        <f>Model!F63</f>
        <v>3.9373682010368505E-4</v>
      </c>
      <c r="G15" s="129">
        <f>Model!G63</f>
        <v>3.1099183691625232E-3</v>
      </c>
      <c r="H15" s="129">
        <f>Model!H63</f>
        <v>-1.1317946991996619E-3</v>
      </c>
      <c r="I15" s="136">
        <f>'Control Panel'!$C$5</f>
        <v>0</v>
      </c>
      <c r="J15" s="136">
        <f>'Control Panel'!$C$5</f>
        <v>0</v>
      </c>
      <c r="K15" s="136">
        <f>'Control Panel'!$C$5</f>
        <v>0</v>
      </c>
      <c r="L15" s="136">
        <f>'Control Panel'!$C$5</f>
        <v>0</v>
      </c>
      <c r="M15" s="136">
        <f>'Control Panel'!$C$5</f>
        <v>0</v>
      </c>
    </row>
    <row r="16" spans="1:13" x14ac:dyDescent="0.25">
      <c r="A16" s="47"/>
      <c r="B16" s="47" t="s">
        <v>267</v>
      </c>
      <c r="C16" s="47"/>
      <c r="D16" s="24"/>
      <c r="E16" s="24"/>
      <c r="F16" s="24"/>
      <c r="G16" s="24"/>
      <c r="H16" s="24"/>
      <c r="I16" s="91"/>
      <c r="J16" s="91"/>
      <c r="K16" s="91"/>
      <c r="L16" s="91"/>
      <c r="M16" s="91"/>
    </row>
    <row r="17" spans="1:13" x14ac:dyDescent="0.25">
      <c r="A17" s="47"/>
      <c r="B17" s="47" t="s">
        <v>265</v>
      </c>
      <c r="C17" s="47" t="s">
        <v>92</v>
      </c>
      <c r="D17" s="24"/>
      <c r="E17" s="129">
        <f>Model!E59</f>
        <v>6.4705882352941169E-2</v>
      </c>
      <c r="F17" s="129">
        <f>Model!F59</f>
        <v>2.2099447513812098E-2</v>
      </c>
      <c r="G17" s="129">
        <f>Model!G59</f>
        <v>0.20540540540540531</v>
      </c>
      <c r="H17" s="129">
        <f>Model!H59</f>
        <v>6.2780269058295923E-2</v>
      </c>
      <c r="I17" s="170">
        <f>'Control Panel'!$C$7</f>
        <v>0.01</v>
      </c>
      <c r="J17" s="170">
        <f>'Control Panel'!$C$7</f>
        <v>0.01</v>
      </c>
      <c r="K17" s="170">
        <f>'Control Panel'!$C$7</f>
        <v>0.01</v>
      </c>
      <c r="L17" s="170">
        <f>'Control Panel'!$C$7</f>
        <v>0.01</v>
      </c>
      <c r="M17" s="170">
        <f>'Control Panel'!$C$7</f>
        <v>0.01</v>
      </c>
    </row>
    <row r="18" spans="1:13" x14ac:dyDescent="0.25">
      <c r="A18" s="47"/>
      <c r="B18" s="47" t="s">
        <v>266</v>
      </c>
      <c r="C18" s="47" t="s">
        <v>92</v>
      </c>
      <c r="D18" s="24"/>
      <c r="E18" s="129">
        <f>Model!E65</f>
        <v>1.6554853985793372E-2</v>
      </c>
      <c r="F18" s="129">
        <f>Model!F65</f>
        <v>6.755130487151817E-3</v>
      </c>
      <c r="G18" s="129">
        <f>Model!G65</f>
        <v>-2.8552596177042755E-3</v>
      </c>
      <c r="H18" s="129">
        <f>Model!H65</f>
        <v>1.1512656903488683E-2</v>
      </c>
      <c r="I18" s="170">
        <f>'Control Panel'!$C$8</f>
        <v>0</v>
      </c>
      <c r="J18" s="170">
        <f>'Control Panel'!$C$8</f>
        <v>0</v>
      </c>
      <c r="K18" s="170">
        <f>'Control Panel'!$C$8</f>
        <v>0</v>
      </c>
      <c r="L18" s="170">
        <f>'Control Panel'!$C$8</f>
        <v>0</v>
      </c>
      <c r="M18" s="170">
        <f>'Control Panel'!$C$8</f>
        <v>0</v>
      </c>
    </row>
    <row r="19" spans="1:13" x14ac:dyDescent="0.25">
      <c r="A19" s="47"/>
      <c r="B19" s="47"/>
      <c r="C19" s="47"/>
      <c r="D19" s="24"/>
      <c r="E19" s="24"/>
      <c r="F19" s="24"/>
      <c r="G19" s="24"/>
      <c r="H19" s="24"/>
      <c r="I19" s="91"/>
      <c r="J19" s="91"/>
      <c r="K19" s="91"/>
      <c r="L19" s="91"/>
      <c r="M19" s="91"/>
    </row>
    <row r="20" spans="1:13" x14ac:dyDescent="0.25">
      <c r="A20" s="50" t="s">
        <v>175</v>
      </c>
      <c r="B20" s="47"/>
      <c r="C20" s="47"/>
      <c r="D20" s="24"/>
      <c r="E20" s="24"/>
      <c r="F20" s="24"/>
      <c r="G20" s="24"/>
      <c r="H20" s="24"/>
      <c r="I20" s="91"/>
      <c r="J20" s="91"/>
      <c r="K20" s="91"/>
      <c r="L20" s="91"/>
      <c r="M20" s="91"/>
    </row>
    <row r="21" spans="1:13" x14ac:dyDescent="0.25">
      <c r="A21" s="47"/>
      <c r="B21" s="47" t="s">
        <v>174</v>
      </c>
      <c r="C21" s="47" t="s">
        <v>92</v>
      </c>
      <c r="D21" s="162">
        <f>Model!D40</f>
        <v>0.3719438877755511</v>
      </c>
      <c r="E21" s="162">
        <f>Model!E40</f>
        <v>0.37332828665152668</v>
      </c>
      <c r="F21" s="162">
        <f>Model!F40</f>
        <v>0.36915771057235691</v>
      </c>
      <c r="G21" s="162">
        <f>Model!G40</f>
        <v>0.39968220338983046</v>
      </c>
      <c r="H21" s="162">
        <f>Model!H40</f>
        <v>0.39229999999999998</v>
      </c>
      <c r="I21" s="201">
        <f>'Control Panel'!$C$10</f>
        <v>0.36</v>
      </c>
      <c r="J21" s="201">
        <f>'Control Panel'!$C$10</f>
        <v>0.36</v>
      </c>
      <c r="K21" s="201">
        <f>'Control Panel'!$C$10</f>
        <v>0.36</v>
      </c>
      <c r="L21" s="201">
        <f>'Control Panel'!$C$10</f>
        <v>0.36</v>
      </c>
      <c r="M21" s="201">
        <f>'Control Panel'!$C$10</f>
        <v>0.36</v>
      </c>
    </row>
    <row r="22" spans="1:13" x14ac:dyDescent="0.25">
      <c r="A22" s="47"/>
      <c r="B22" s="47" t="s">
        <v>176</v>
      </c>
      <c r="C22" s="47" t="s">
        <v>92</v>
      </c>
      <c r="D22" s="162">
        <f>Model!D41</f>
        <v>1.0955243820975282E-2</v>
      </c>
      <c r="E22" s="162">
        <f>Model!E41</f>
        <v>1.0471864748927581E-2</v>
      </c>
      <c r="F22" s="162">
        <f>Model!F41</f>
        <v>1.0622344413896525E-2</v>
      </c>
      <c r="G22" s="162">
        <f>Model!G41</f>
        <v>9.2161016949152529E-3</v>
      </c>
      <c r="H22" s="162">
        <f>Model!H41</f>
        <v>8.6E-3</v>
      </c>
      <c r="I22" s="171">
        <v>0.01</v>
      </c>
      <c r="J22" s="171">
        <v>0.01</v>
      </c>
      <c r="K22" s="171">
        <v>0.01</v>
      </c>
      <c r="L22" s="171">
        <v>0.01</v>
      </c>
      <c r="M22" s="171">
        <v>0.01</v>
      </c>
    </row>
    <row r="23" spans="1:13" x14ac:dyDescent="0.25">
      <c r="A23" s="47"/>
      <c r="B23" s="47" t="s">
        <v>177</v>
      </c>
      <c r="C23" s="47" t="s">
        <v>92</v>
      </c>
      <c r="D23" s="162">
        <f>Model!D42</f>
        <v>0.15390781563126252</v>
      </c>
      <c r="E23" s="162">
        <f>Model!E42</f>
        <v>0.15367146101438303</v>
      </c>
      <c r="F23" s="162">
        <f>Model!F42</f>
        <v>0.15321169707573104</v>
      </c>
      <c r="G23" s="162">
        <f>Model!G42</f>
        <v>0.17012711864406782</v>
      </c>
      <c r="H23" s="162">
        <f>Model!H42</f>
        <v>0.11370000000000001</v>
      </c>
      <c r="I23" s="171">
        <v>0.11</v>
      </c>
      <c r="J23" s="171">
        <v>0.11</v>
      </c>
      <c r="K23" s="171">
        <v>0.11</v>
      </c>
      <c r="L23" s="171">
        <v>0.11</v>
      </c>
      <c r="M23" s="171">
        <v>0.11</v>
      </c>
    </row>
    <row r="24" spans="1:13" x14ac:dyDescent="0.25">
      <c r="A24" s="47"/>
      <c r="B24" s="47" t="s">
        <v>178</v>
      </c>
      <c r="C24" s="47" t="s">
        <v>92</v>
      </c>
      <c r="D24" s="162">
        <f>Model!D43</f>
        <v>0.3613138686131388</v>
      </c>
      <c r="E24" s="162">
        <f>Model!E43</f>
        <v>0.26774483378256952</v>
      </c>
      <c r="F24" s="162">
        <f>Model!F43</f>
        <v>0.26911314984709467</v>
      </c>
      <c r="G24" s="162">
        <f>Model!G43</f>
        <v>0.40000000000000013</v>
      </c>
      <c r="H24" s="162">
        <f>Model!H43</f>
        <v>0.39943609022556403</v>
      </c>
      <c r="I24" s="171">
        <v>0.4</v>
      </c>
      <c r="J24" s="171">
        <v>0.4</v>
      </c>
      <c r="K24" s="171">
        <v>0.4</v>
      </c>
      <c r="L24" s="171">
        <v>0.4</v>
      </c>
      <c r="M24" s="171">
        <v>0.4</v>
      </c>
    </row>
    <row r="25" spans="1:13" x14ac:dyDescent="0.25">
      <c r="A25" s="47"/>
      <c r="B25" s="47" t="s">
        <v>184</v>
      </c>
      <c r="C25" s="47" t="s">
        <v>92</v>
      </c>
      <c r="D25" s="162">
        <f>Model!D44</f>
        <v>-2.9392117568470275E-3</v>
      </c>
      <c r="E25" s="162">
        <f>Model!E44</f>
        <v>3.4065102195306586E-3</v>
      </c>
      <c r="F25" s="162">
        <f>Model!F44</f>
        <v>8.4978755311172199E-3</v>
      </c>
      <c r="G25" s="162">
        <f>Model!G44</f>
        <v>0</v>
      </c>
      <c r="H25" s="162">
        <f>Model!H44</f>
        <v>0</v>
      </c>
      <c r="I25" s="171">
        <v>0</v>
      </c>
      <c r="J25" s="171">
        <v>0</v>
      </c>
      <c r="K25" s="171">
        <v>0</v>
      </c>
      <c r="L25" s="171">
        <v>0</v>
      </c>
      <c r="M25" s="171">
        <v>0</v>
      </c>
    </row>
    <row r="26" spans="1:13" x14ac:dyDescent="0.25">
      <c r="A26" s="47"/>
      <c r="B26" s="47"/>
      <c r="C26" s="47"/>
      <c r="D26" s="24"/>
      <c r="E26" s="24"/>
      <c r="F26" s="24"/>
      <c r="G26" s="24"/>
      <c r="H26" s="24"/>
      <c r="I26" s="91"/>
      <c r="J26" s="91"/>
      <c r="K26" s="91"/>
      <c r="L26" s="91"/>
      <c r="M26" s="91"/>
    </row>
    <row r="27" spans="1:13" x14ac:dyDescent="0.25">
      <c r="A27" s="47"/>
      <c r="B27" s="47" t="s">
        <v>268</v>
      </c>
      <c r="C27" s="47" t="s">
        <v>92</v>
      </c>
      <c r="D27" s="173">
        <f>Model!D34</f>
        <v>0.40190476190476215</v>
      </c>
      <c r="E27" s="173">
        <f>Model!E34</f>
        <v>0.39999999999999974</v>
      </c>
      <c r="F27" s="173">
        <f>Model!F34</f>
        <v>0.60111576011157575</v>
      </c>
      <c r="G27" s="173">
        <f>Model!G34</f>
        <v>0.60000000000000042</v>
      </c>
      <c r="H27" s="173">
        <f>Model!H34</f>
        <v>0.60015649452269204</v>
      </c>
      <c r="I27" s="174">
        <f>'Control Panel'!$C$11</f>
        <v>0.53</v>
      </c>
      <c r="J27" s="174">
        <f>'Control Panel'!$C$11</f>
        <v>0.53</v>
      </c>
      <c r="K27" s="174">
        <f>'Control Panel'!$C$11</f>
        <v>0.53</v>
      </c>
      <c r="L27" s="174">
        <f>'Control Panel'!$C$11</f>
        <v>0.53</v>
      </c>
      <c r="M27" s="174">
        <f>'Control Panel'!$C$11</f>
        <v>0.53</v>
      </c>
    </row>
    <row r="28" spans="1:13" x14ac:dyDescent="0.25">
      <c r="A28" s="47"/>
      <c r="B28" s="47"/>
      <c r="C28" s="47"/>
      <c r="D28" s="24"/>
      <c r="E28" s="24"/>
      <c r="F28" s="24"/>
      <c r="G28" s="24"/>
      <c r="H28" s="24"/>
      <c r="I28" s="91"/>
      <c r="J28" s="91"/>
      <c r="K28" s="91"/>
      <c r="L28" s="91"/>
      <c r="M28" s="91"/>
    </row>
    <row r="29" spans="1:13" x14ac:dyDescent="0.25">
      <c r="A29" s="50" t="s">
        <v>269</v>
      </c>
      <c r="B29" s="47"/>
      <c r="C29" s="47"/>
      <c r="D29" s="24"/>
      <c r="E29" s="24"/>
      <c r="F29" s="24"/>
      <c r="G29" s="24"/>
      <c r="H29" s="24"/>
      <c r="I29" s="91"/>
      <c r="J29" s="91"/>
      <c r="K29" s="91"/>
      <c r="L29" s="91"/>
      <c r="M29" s="91"/>
    </row>
    <row r="30" spans="1:13" x14ac:dyDescent="0.25">
      <c r="A30" s="47"/>
      <c r="B30" s="50" t="s">
        <v>270</v>
      </c>
      <c r="C30" s="47"/>
      <c r="D30" s="24"/>
      <c r="E30" s="24"/>
      <c r="F30" s="24"/>
      <c r="G30" s="24"/>
      <c r="H30" s="24"/>
      <c r="I30" s="91"/>
      <c r="J30" s="91"/>
      <c r="K30" s="91"/>
      <c r="L30" s="91"/>
      <c r="M30" s="91"/>
    </row>
    <row r="31" spans="1:13" x14ac:dyDescent="0.25">
      <c r="A31" s="47"/>
      <c r="B31" s="57" t="s">
        <v>187</v>
      </c>
      <c r="C31" s="47" t="s">
        <v>92</v>
      </c>
      <c r="D31" s="129">
        <f>Model!D108</f>
        <v>0.15</v>
      </c>
      <c r="E31" s="129">
        <f>Model!E108</f>
        <v>0.14947640676255361</v>
      </c>
      <c r="F31" s="129">
        <f>Model!F108</f>
        <v>0.14943139215196199</v>
      </c>
      <c r="G31" s="129">
        <f>Model!G108</f>
        <v>0.14785487288135593</v>
      </c>
      <c r="H31" s="129">
        <f>Model!H108</f>
        <v>0.14857499999999998</v>
      </c>
      <c r="I31" s="98">
        <v>0.12</v>
      </c>
      <c r="J31" s="98">
        <v>0.12</v>
      </c>
      <c r="K31" s="98">
        <v>0.12</v>
      </c>
      <c r="L31" s="98">
        <v>0.12</v>
      </c>
      <c r="M31" s="98">
        <v>0.12</v>
      </c>
    </row>
    <row r="32" spans="1:13" x14ac:dyDescent="0.25">
      <c r="A32" s="47"/>
      <c r="B32" s="57" t="s">
        <v>140</v>
      </c>
      <c r="C32" s="47" t="s">
        <v>101</v>
      </c>
      <c r="D32" s="175">
        <f>Model!D116</f>
        <v>82.460253841015358</v>
      </c>
      <c r="E32" s="175">
        <f>Model!E116</f>
        <v>87.08238708049457</v>
      </c>
      <c r="F32" s="175">
        <f>Model!F116</f>
        <v>75.7641839540115</v>
      </c>
      <c r="G32" s="175">
        <f>Model!G116</f>
        <v>68.630826271186436</v>
      </c>
      <c r="H32" s="175">
        <f>Model!H116</f>
        <v>75.956500000000005</v>
      </c>
      <c r="I32" s="178">
        <f>'Control Panel'!$C$13</f>
        <v>60</v>
      </c>
      <c r="J32" s="178">
        <f>'Control Panel'!$C$13</f>
        <v>60</v>
      </c>
      <c r="K32" s="178">
        <f>'Control Panel'!$C$13</f>
        <v>60</v>
      </c>
      <c r="L32" s="178">
        <f>'Control Panel'!$C$13</f>
        <v>60</v>
      </c>
      <c r="M32" s="178">
        <f>'Control Panel'!$C$13</f>
        <v>60</v>
      </c>
    </row>
    <row r="33" spans="1:13" x14ac:dyDescent="0.25">
      <c r="A33" s="47"/>
      <c r="B33" s="57" t="s">
        <v>143</v>
      </c>
      <c r="C33" s="47" t="s">
        <v>103</v>
      </c>
      <c r="D33" s="175">
        <f>Model!D124</f>
        <v>3.6928515318146111</v>
      </c>
      <c r="E33" s="175">
        <f>Model!E124</f>
        <v>3.7628787878787877</v>
      </c>
      <c r="F33" s="175">
        <f>Model!F124</f>
        <v>3.9437499999999996</v>
      </c>
      <c r="G33" s="175">
        <f>Model!G124</f>
        <v>3.9684873949579833</v>
      </c>
      <c r="H33" s="175">
        <f>Model!H124</f>
        <v>4.1005398110661275</v>
      </c>
      <c r="I33" s="183">
        <f>'Control Panel'!$C$14</f>
        <v>4.0999999999999996</v>
      </c>
      <c r="J33" s="183">
        <f>'Control Panel'!$C$14</f>
        <v>4.0999999999999996</v>
      </c>
      <c r="K33" s="183">
        <f>'Control Panel'!$C$14</f>
        <v>4.0999999999999996</v>
      </c>
      <c r="L33" s="183">
        <f>'Control Panel'!$C$14</f>
        <v>4.0999999999999996</v>
      </c>
      <c r="M33" s="183">
        <f>'Control Panel'!$C$14</f>
        <v>4.0999999999999996</v>
      </c>
    </row>
    <row r="34" spans="1:13" x14ac:dyDescent="0.25">
      <c r="A34" s="47"/>
      <c r="B34" s="57" t="s">
        <v>146</v>
      </c>
      <c r="C34" s="47" t="s">
        <v>101</v>
      </c>
      <c r="D34" s="175">
        <f>Model!D132</f>
        <v>118.71623058923633</v>
      </c>
      <c r="E34" s="175">
        <f>Model!E132</f>
        <v>127.49647674652709</v>
      </c>
      <c r="F34" s="175">
        <f>Model!F132</f>
        <v>104.33736133122029</v>
      </c>
      <c r="G34" s="175">
        <f>Model!G132</f>
        <v>113.03599788247749</v>
      </c>
      <c r="H34" s="175">
        <f>Model!H132</f>
        <v>167.63452361362513</v>
      </c>
      <c r="I34" s="183">
        <f>'Control Panel'!$C$15</f>
        <v>60</v>
      </c>
      <c r="J34" s="183">
        <f>'Control Panel'!$C$15</f>
        <v>60</v>
      </c>
      <c r="K34" s="183">
        <f>'Control Panel'!$C$15</f>
        <v>60</v>
      </c>
      <c r="L34" s="183">
        <f>'Control Panel'!$C$15</f>
        <v>60</v>
      </c>
      <c r="M34" s="183">
        <f>'Control Panel'!$C$15</f>
        <v>60</v>
      </c>
    </row>
    <row r="35" spans="1:13" x14ac:dyDescent="0.25">
      <c r="A35" s="47"/>
      <c r="B35" s="57" t="s">
        <v>169</v>
      </c>
      <c r="C35" s="47" t="s">
        <v>92</v>
      </c>
      <c r="D35" s="172">
        <f>Model!D139</f>
        <v>0.15898463593854376</v>
      </c>
      <c r="E35" s="172">
        <f>Model!E139</f>
        <v>0.14837244511733533</v>
      </c>
      <c r="F35" s="172">
        <f>Model!F139</f>
        <v>0.1488377905523619</v>
      </c>
      <c r="G35" s="172">
        <f>Model!G139</f>
        <v>0.20074152542372881</v>
      </c>
      <c r="H35" s="172">
        <f>Model!H139</f>
        <v>0.1837</v>
      </c>
      <c r="I35" s="98">
        <v>0.19</v>
      </c>
      <c r="J35" s="98">
        <v>0.19</v>
      </c>
      <c r="K35" s="98">
        <v>0.19</v>
      </c>
      <c r="L35" s="98">
        <v>0.19</v>
      </c>
      <c r="M35" s="98">
        <v>0.19</v>
      </c>
    </row>
    <row r="36" spans="1:13" x14ac:dyDescent="0.25">
      <c r="A36" s="47"/>
      <c r="B36" s="55" t="s">
        <v>155</v>
      </c>
      <c r="C36" s="47" t="s">
        <v>92</v>
      </c>
      <c r="D36" s="172">
        <f>Model!D146</f>
        <v>0.18129592518370072</v>
      </c>
      <c r="E36" s="172">
        <f>Model!E146</f>
        <v>0.18773656320968957</v>
      </c>
      <c r="F36" s="172">
        <f>Model!F146</f>
        <v>0.20444888777805514</v>
      </c>
      <c r="G36" s="172">
        <f>Model!G146</f>
        <v>0.44364406779660975</v>
      </c>
      <c r="H36" s="172">
        <f>Model!H146</f>
        <v>0.34650000000000003</v>
      </c>
      <c r="I36" s="98">
        <v>0.34</v>
      </c>
      <c r="J36" s="98">
        <v>0.34</v>
      </c>
      <c r="K36" s="98">
        <v>0.34</v>
      </c>
      <c r="L36" s="98">
        <v>0.34</v>
      </c>
      <c r="M36" s="98">
        <v>0.34</v>
      </c>
    </row>
    <row r="37" spans="1:13" x14ac:dyDescent="0.25">
      <c r="A37" s="47"/>
      <c r="B37" s="50" t="s">
        <v>271</v>
      </c>
      <c r="C37" s="47"/>
      <c r="D37" s="24"/>
      <c r="E37" s="24"/>
      <c r="F37" s="24"/>
      <c r="G37" s="24"/>
      <c r="H37" s="24"/>
      <c r="I37" s="91"/>
      <c r="J37" s="91"/>
      <c r="K37" s="91"/>
      <c r="L37" s="91"/>
      <c r="M37" s="91"/>
    </row>
    <row r="38" spans="1:13" x14ac:dyDescent="0.25">
      <c r="A38" s="47"/>
      <c r="B38" s="57" t="s">
        <v>164</v>
      </c>
      <c r="C38" s="47" t="s">
        <v>92</v>
      </c>
      <c r="D38" s="179"/>
      <c r="E38" s="179">
        <f>Model!E160</f>
        <v>7.317688619732525E-2</v>
      </c>
      <c r="F38" s="179">
        <f>Model!F160</f>
        <v>4.7113221694576407E-2</v>
      </c>
      <c r="G38" s="179">
        <f>Model!G160</f>
        <v>0.12542372881355943</v>
      </c>
      <c r="H38" s="179">
        <f>Model!H160</f>
        <v>0.16109999999999991</v>
      </c>
      <c r="I38" s="174">
        <f>'Control Panel'!$C$16</f>
        <v>0.08</v>
      </c>
      <c r="J38" s="174">
        <f>'Control Panel'!$C$16</f>
        <v>0.08</v>
      </c>
      <c r="K38" s="174">
        <f>'Control Panel'!$C$16</f>
        <v>0.08</v>
      </c>
      <c r="L38" s="174">
        <f>'Control Panel'!$C$16</f>
        <v>0.08</v>
      </c>
      <c r="M38" s="174">
        <f>'Control Panel'!$C$16</f>
        <v>0.08</v>
      </c>
    </row>
    <row r="39" spans="1:13" x14ac:dyDescent="0.25">
      <c r="A39" s="47"/>
      <c r="B39" s="57" t="s">
        <v>259</v>
      </c>
      <c r="C39" s="47" t="s">
        <v>153</v>
      </c>
      <c r="D39" s="24"/>
      <c r="E39" s="24"/>
      <c r="F39" s="24"/>
      <c r="G39" s="24"/>
      <c r="H39" s="24"/>
      <c r="I39" s="115">
        <v>0</v>
      </c>
      <c r="J39" s="115">
        <v>0</v>
      </c>
      <c r="K39" s="115">
        <v>0</v>
      </c>
      <c r="L39" s="115">
        <v>0</v>
      </c>
      <c r="M39" s="115">
        <v>0</v>
      </c>
    </row>
    <row r="40" spans="1:13" x14ac:dyDescent="0.25">
      <c r="A40" s="47"/>
      <c r="B40" s="57" t="s">
        <v>182</v>
      </c>
      <c r="C40" s="47" t="s">
        <v>92</v>
      </c>
      <c r="D40" s="24"/>
      <c r="E40" s="179">
        <f>Model!E163</f>
        <v>6.2427207081295143E-2</v>
      </c>
      <c r="F40" s="179">
        <f>Model!F163</f>
        <v>6.4489311163895488E-2</v>
      </c>
      <c r="G40" s="179">
        <f>Model!G163</f>
        <v>5.4805052169137836E-2</v>
      </c>
      <c r="H40" s="179">
        <f>Model!H163</f>
        <v>5.2859107879740616E-2</v>
      </c>
      <c r="I40" s="100">
        <v>5.5E-2</v>
      </c>
      <c r="J40" s="100">
        <v>5.5E-2</v>
      </c>
      <c r="K40" s="100">
        <v>5.5E-2</v>
      </c>
      <c r="L40" s="100">
        <v>5.5E-2</v>
      </c>
      <c r="M40" s="100">
        <v>5.5E-2</v>
      </c>
    </row>
    <row r="41" spans="1:13" x14ac:dyDescent="0.25">
      <c r="A41" s="47"/>
      <c r="B41" s="57" t="s">
        <v>272</v>
      </c>
      <c r="C41" s="47" t="s">
        <v>92</v>
      </c>
      <c r="D41" s="24"/>
      <c r="E41" s="129">
        <f>Model!D169</f>
        <v>0.31756847027388108</v>
      </c>
      <c r="F41" s="129">
        <f>Model!E169</f>
        <v>0.35326772646984606</v>
      </c>
      <c r="G41" s="129">
        <f>Model!F169</f>
        <v>0.42851787053236684</v>
      </c>
      <c r="H41" s="129">
        <f>Model!G169</f>
        <v>0.46175847457627117</v>
      </c>
      <c r="I41" s="174">
        <f>'Control Panel'!$C$17</f>
        <v>0.42</v>
      </c>
      <c r="J41" s="174">
        <f>'Control Panel'!$C$17</f>
        <v>0.42</v>
      </c>
      <c r="K41" s="174">
        <f>'Control Panel'!$C$17</f>
        <v>0.42</v>
      </c>
      <c r="L41" s="174">
        <f>'Control Panel'!$C$17</f>
        <v>0.42</v>
      </c>
      <c r="M41" s="174">
        <f>'Control Panel'!$C$17</f>
        <v>0.42</v>
      </c>
    </row>
    <row r="42" spans="1:13" x14ac:dyDescent="0.25">
      <c r="A42" s="47"/>
      <c r="B42" s="69" t="s">
        <v>16</v>
      </c>
      <c r="C42" s="47"/>
      <c r="D42" s="24"/>
      <c r="E42" s="24"/>
      <c r="F42" s="24"/>
      <c r="G42" s="24"/>
      <c r="H42" s="24"/>
      <c r="I42" s="91"/>
      <c r="J42" s="91"/>
      <c r="K42" s="91"/>
      <c r="L42" s="91"/>
      <c r="M42" s="91"/>
    </row>
    <row r="43" spans="1:13" x14ac:dyDescent="0.25">
      <c r="A43" s="47"/>
      <c r="B43" s="57" t="s">
        <v>148</v>
      </c>
      <c r="C43" s="47" t="s">
        <v>153</v>
      </c>
      <c r="D43" s="163"/>
      <c r="E43" s="163">
        <f>Model!E178</f>
        <v>-4.6999999999999993</v>
      </c>
      <c r="F43" s="163">
        <f>Model!F178</f>
        <v>-4.8999999999999986</v>
      </c>
      <c r="G43" s="163">
        <f>Model!G178</f>
        <v>13.8</v>
      </c>
      <c r="H43" s="163">
        <f>Model!H178</f>
        <v>37.699999999999996</v>
      </c>
      <c r="I43" s="115">
        <v>0</v>
      </c>
      <c r="J43" s="115">
        <v>0</v>
      </c>
      <c r="K43" s="115">
        <v>0</v>
      </c>
      <c r="L43" s="115">
        <v>0</v>
      </c>
      <c r="M43" s="115">
        <v>0</v>
      </c>
    </row>
    <row r="44" spans="1:13" x14ac:dyDescent="0.25">
      <c r="A44" s="47"/>
      <c r="B44" s="47" t="s">
        <v>185</v>
      </c>
      <c r="C44" s="47" t="s">
        <v>92</v>
      </c>
      <c r="D44" s="24"/>
      <c r="E44" s="24"/>
      <c r="F44" s="24"/>
      <c r="G44" s="24"/>
      <c r="H44" s="31">
        <v>0.04</v>
      </c>
      <c r="I44" s="101">
        <v>0.04</v>
      </c>
      <c r="J44" s="101">
        <v>0.04</v>
      </c>
      <c r="K44" s="101">
        <v>0.04</v>
      </c>
      <c r="L44" s="101">
        <v>0.04</v>
      </c>
      <c r="M44" s="101">
        <v>0.04</v>
      </c>
    </row>
    <row r="45" spans="1:13" x14ac:dyDescent="0.25">
      <c r="A45" s="47"/>
      <c r="B45" s="69" t="s">
        <v>162</v>
      </c>
      <c r="C45" s="47"/>
      <c r="D45" s="24"/>
      <c r="E45" s="24"/>
      <c r="F45" s="24"/>
      <c r="G45" s="24"/>
      <c r="H45" s="24"/>
      <c r="I45" s="91"/>
      <c r="J45" s="91"/>
      <c r="K45" s="91"/>
      <c r="L45" s="91"/>
      <c r="M45" s="91"/>
    </row>
    <row r="46" spans="1:13" x14ac:dyDescent="0.25">
      <c r="A46" s="47"/>
      <c r="B46" s="58" t="s">
        <v>137</v>
      </c>
      <c r="C46" s="47" t="s">
        <v>153</v>
      </c>
      <c r="D46" s="24"/>
      <c r="E46" s="175">
        <f>Model!E186</f>
        <v>-9.3000000000000043</v>
      </c>
      <c r="F46" s="175">
        <f>Model!F186</f>
        <v>-11.799999999999997</v>
      </c>
      <c r="G46" s="175">
        <f>Model!G186</f>
        <v>-21.5</v>
      </c>
      <c r="H46" s="175">
        <f>Model!H186</f>
        <v>0</v>
      </c>
      <c r="I46" s="115">
        <v>0</v>
      </c>
      <c r="J46" s="115">
        <v>0</v>
      </c>
      <c r="K46" s="115">
        <v>0</v>
      </c>
      <c r="L46" s="115">
        <v>0</v>
      </c>
      <c r="M46" s="115">
        <v>0</v>
      </c>
    </row>
    <row r="47" spans="1:13" x14ac:dyDescent="0.25">
      <c r="A47" s="47"/>
      <c r="B47" s="50" t="s">
        <v>191</v>
      </c>
      <c r="C47" s="47"/>
      <c r="D47" s="24"/>
      <c r="E47" s="24"/>
      <c r="F47" s="24"/>
      <c r="G47" s="24"/>
      <c r="H47" s="24"/>
      <c r="I47" s="91"/>
      <c r="J47" s="91"/>
      <c r="K47" s="91"/>
      <c r="L47" s="91"/>
      <c r="M47" s="91"/>
    </row>
    <row r="48" spans="1:13" x14ac:dyDescent="0.25">
      <c r="A48" s="47"/>
      <c r="B48" s="57" t="s">
        <v>273</v>
      </c>
      <c r="C48" s="47" t="s">
        <v>153</v>
      </c>
      <c r="D48" s="24"/>
      <c r="E48" s="175">
        <f>Model!E210</f>
        <v>0</v>
      </c>
      <c r="F48" s="175">
        <f>Model!F210</f>
        <v>0</v>
      </c>
      <c r="G48" s="175">
        <f>Model!G210</f>
        <v>0</v>
      </c>
      <c r="H48" s="175">
        <f>Model!H210</f>
        <v>0</v>
      </c>
      <c r="I48" s="114">
        <v>0</v>
      </c>
      <c r="J48" s="114">
        <v>0</v>
      </c>
      <c r="K48" s="114">
        <v>0</v>
      </c>
      <c r="L48" s="114">
        <v>0</v>
      </c>
      <c r="M48" s="114">
        <v>0</v>
      </c>
    </row>
    <row r="49" spans="1:13" x14ac:dyDescent="0.25">
      <c r="A49" s="47"/>
      <c r="B49" s="47" t="s">
        <v>274</v>
      </c>
      <c r="C49" s="47" t="s">
        <v>103</v>
      </c>
      <c r="D49" s="130">
        <f>Model!D206</f>
        <v>22.895238095238106</v>
      </c>
      <c r="E49" s="130">
        <f>Model!E206</f>
        <v>14.687116564417169</v>
      </c>
      <c r="F49" s="130">
        <f>Model!F206</f>
        <v>17.789400278940018</v>
      </c>
      <c r="G49" s="130">
        <f>Model!G206</f>
        <v>14.064516129032269</v>
      </c>
      <c r="H49" s="130">
        <f>Model!H206</f>
        <v>12.194835680751181</v>
      </c>
      <c r="I49" s="96">
        <v>12</v>
      </c>
      <c r="J49" s="96">
        <v>12</v>
      </c>
      <c r="K49" s="96">
        <v>12</v>
      </c>
      <c r="L49" s="96">
        <v>12</v>
      </c>
      <c r="M49" s="96">
        <v>12</v>
      </c>
    </row>
    <row r="50" spans="1:13" x14ac:dyDescent="0.25">
      <c r="A50" s="47"/>
      <c r="B50" s="50" t="s">
        <v>241</v>
      </c>
      <c r="C50" s="47"/>
      <c r="D50" s="24"/>
      <c r="E50" s="24"/>
      <c r="F50" s="24"/>
      <c r="G50" s="24"/>
      <c r="H50" s="24"/>
      <c r="I50" s="91"/>
      <c r="J50" s="91"/>
      <c r="K50" s="91"/>
      <c r="L50" s="91"/>
      <c r="M50" s="91"/>
    </row>
    <row r="51" spans="1:13" x14ac:dyDescent="0.25">
      <c r="A51" s="47"/>
      <c r="B51" s="68" t="s">
        <v>180</v>
      </c>
      <c r="C51" s="47"/>
      <c r="D51" s="24"/>
      <c r="E51" s="24"/>
      <c r="F51" s="24"/>
      <c r="G51" s="24"/>
      <c r="H51" s="24"/>
      <c r="I51" s="180">
        <v>0.04</v>
      </c>
      <c r="J51" s="180">
        <v>0.04</v>
      </c>
      <c r="K51" s="180">
        <v>0.04</v>
      </c>
      <c r="L51" s="180">
        <v>0.04</v>
      </c>
      <c r="M51" s="180">
        <v>0.04</v>
      </c>
    </row>
    <row r="52" spans="1:13" x14ac:dyDescent="0.25">
      <c r="A52" s="47"/>
      <c r="B52" s="50" t="s">
        <v>275</v>
      </c>
      <c r="C52" s="47"/>
      <c r="D52" s="24"/>
      <c r="E52" s="24"/>
      <c r="F52" s="24"/>
      <c r="G52" s="24"/>
      <c r="H52" s="24"/>
      <c r="I52" s="91"/>
      <c r="J52" s="91"/>
      <c r="K52" s="91"/>
      <c r="L52" s="91"/>
      <c r="M52" s="91"/>
    </row>
    <row r="53" spans="1:13" x14ac:dyDescent="0.25">
      <c r="A53" s="47"/>
      <c r="B53" s="55" t="s">
        <v>276</v>
      </c>
      <c r="C53" s="47"/>
      <c r="D53" s="24"/>
      <c r="E53" s="24"/>
      <c r="F53" s="24"/>
      <c r="G53" s="24"/>
      <c r="H53" s="24"/>
      <c r="I53" s="100">
        <v>0.01</v>
      </c>
      <c r="J53" s="100">
        <v>0.01</v>
      </c>
      <c r="K53" s="100">
        <v>0.01</v>
      </c>
      <c r="L53" s="100">
        <v>0.01</v>
      </c>
      <c r="M53" s="100">
        <v>0.01</v>
      </c>
    </row>
    <row r="54" spans="1:13" x14ac:dyDescent="0.25">
      <c r="A54" s="47"/>
      <c r="B54" s="47"/>
      <c r="C54" s="47"/>
      <c r="D54" s="24"/>
      <c r="E54" s="24"/>
      <c r="F54" s="24"/>
      <c r="G54" s="24"/>
      <c r="H54" s="24"/>
      <c r="I54" s="91"/>
      <c r="J54" s="91"/>
      <c r="K54" s="91"/>
      <c r="L54" s="91"/>
      <c r="M54" s="91"/>
    </row>
    <row r="55" spans="1:13" x14ac:dyDescent="0.25">
      <c r="A55" s="184" t="s">
        <v>251</v>
      </c>
      <c r="B55" s="52"/>
      <c r="C55" s="52"/>
      <c r="D55" s="34"/>
      <c r="E55" s="34"/>
      <c r="F55" s="34"/>
      <c r="G55" s="34"/>
      <c r="H55" s="34"/>
      <c r="I55" s="108"/>
      <c r="J55" s="108"/>
      <c r="K55" s="108"/>
      <c r="L55" s="108"/>
      <c r="M55" s="185"/>
    </row>
    <row r="56" spans="1:13" x14ac:dyDescent="0.25">
      <c r="A56" s="186"/>
      <c r="B56" s="54"/>
      <c r="C56" s="54"/>
      <c r="D56" s="84"/>
      <c r="E56" s="84"/>
      <c r="F56" s="84"/>
      <c r="G56" s="84"/>
      <c r="H56" s="84"/>
      <c r="I56" s="134"/>
      <c r="J56" s="134"/>
      <c r="K56" s="134"/>
      <c r="L56" s="134"/>
      <c r="M56" s="187"/>
    </row>
    <row r="57" spans="1:13" x14ac:dyDescent="0.25">
      <c r="A57" s="186"/>
      <c r="B57" s="54" t="s">
        <v>252</v>
      </c>
      <c r="C57" s="54"/>
      <c r="D57" s="188">
        <f>Model!D88/Model!D93</f>
        <v>2.4820172318393802E-2</v>
      </c>
      <c r="E57" s="188">
        <f>Model!E88/Model!E93</f>
        <v>2.0319634703196348E-2</v>
      </c>
      <c r="F57" s="188">
        <f>Model!F88/Model!F93</f>
        <v>1.6237151795024579E-2</v>
      </c>
      <c r="G57" s="188">
        <f>Model!G88/Model!G93</f>
        <v>2.5800840701550948E-2</v>
      </c>
      <c r="H57" s="188">
        <f>Model!H88/Model!H93</f>
        <v>5.1226500803689977E-2</v>
      </c>
      <c r="I57" s="189">
        <f>Model!I88/Model!I93</f>
        <v>4.9390378147205864E-2</v>
      </c>
      <c r="J57" s="189">
        <f>Model!J88/Model!J93</f>
        <v>4.7159440488184816E-2</v>
      </c>
      <c r="K57" s="189">
        <f>Model!K88/Model!K93</f>
        <v>4.5072695287978366E-2</v>
      </c>
      <c r="L57" s="189">
        <f>Model!L88/Model!L93</f>
        <v>4.3117049165767495E-2</v>
      </c>
      <c r="M57" s="189">
        <f>Model!M88/Model!M93</f>
        <v>4.1280949412312515E-2</v>
      </c>
    </row>
    <row r="58" spans="1:13" x14ac:dyDescent="0.25">
      <c r="A58" s="186"/>
      <c r="B58" s="54" t="s">
        <v>253</v>
      </c>
      <c r="C58" s="54"/>
      <c r="D58" s="84"/>
      <c r="E58" s="84"/>
      <c r="F58" s="84"/>
      <c r="G58" s="84"/>
      <c r="H58" s="84"/>
      <c r="I58" s="190">
        <v>0.1</v>
      </c>
      <c r="J58" s="190">
        <v>0.11</v>
      </c>
      <c r="K58" s="190">
        <v>0.12</v>
      </c>
      <c r="L58" s="190">
        <v>0.13</v>
      </c>
      <c r="M58" s="191">
        <v>0.14000000000000001</v>
      </c>
    </row>
    <row r="59" spans="1:13" x14ac:dyDescent="0.25">
      <c r="A59" s="186"/>
      <c r="B59" s="54" t="s">
        <v>254</v>
      </c>
      <c r="C59" s="54"/>
      <c r="D59" s="84"/>
      <c r="E59" s="84"/>
      <c r="F59" s="84"/>
      <c r="G59" s="84"/>
      <c r="H59" s="84"/>
      <c r="I59" s="192">
        <f>I58-I57</f>
        <v>5.0609621852794141E-2</v>
      </c>
      <c r="J59" s="192">
        <f>J58-J57</f>
        <v>6.2840559511815192E-2</v>
      </c>
      <c r="K59" s="192">
        <f>K58-K57</f>
        <v>7.4927304712021636E-2</v>
      </c>
      <c r="L59" s="192">
        <f>L58-L57</f>
        <v>8.6882950834232503E-2</v>
      </c>
      <c r="M59" s="193">
        <f>M58-M57</f>
        <v>9.8719050587687499E-2</v>
      </c>
    </row>
    <row r="60" spans="1:13" x14ac:dyDescent="0.25">
      <c r="A60" s="186"/>
      <c r="B60" s="54"/>
      <c r="C60" s="54"/>
      <c r="D60" s="84"/>
      <c r="E60" s="84"/>
      <c r="F60" s="84"/>
      <c r="G60" s="84"/>
      <c r="H60" s="84"/>
      <c r="I60" s="134"/>
      <c r="J60" s="134"/>
      <c r="K60" s="134"/>
      <c r="L60" s="134"/>
      <c r="M60" s="187"/>
    </row>
    <row r="61" spans="1:13" x14ac:dyDescent="0.25">
      <c r="A61" s="186"/>
      <c r="B61" s="54" t="s">
        <v>255</v>
      </c>
      <c r="C61" s="54"/>
      <c r="D61" s="84"/>
      <c r="E61" s="84"/>
      <c r="F61" s="84"/>
      <c r="G61" s="84"/>
      <c r="H61" s="84"/>
      <c r="I61" s="134"/>
      <c r="J61" s="134"/>
      <c r="K61" s="134"/>
      <c r="L61" s="134"/>
      <c r="M61" s="187"/>
    </row>
    <row r="62" spans="1:13" x14ac:dyDescent="0.25">
      <c r="A62" s="186"/>
      <c r="B62" s="54" t="s">
        <v>256</v>
      </c>
      <c r="C62" s="54"/>
      <c r="D62" s="84"/>
      <c r="E62" s="84"/>
      <c r="F62" s="84"/>
      <c r="G62" s="84"/>
      <c r="H62" s="84"/>
      <c r="I62" s="134"/>
      <c r="J62" s="134"/>
      <c r="K62" s="134"/>
      <c r="L62" s="134"/>
      <c r="M62" s="187"/>
    </row>
    <row r="63" spans="1:13" x14ac:dyDescent="0.25">
      <c r="A63" s="194"/>
      <c r="B63" s="56" t="s">
        <v>257</v>
      </c>
      <c r="C63" s="56"/>
      <c r="D63" s="195"/>
      <c r="E63" s="195"/>
      <c r="F63" s="195"/>
      <c r="G63" s="195"/>
      <c r="H63" s="195"/>
      <c r="I63" s="196"/>
      <c r="J63" s="196"/>
      <c r="K63" s="196"/>
      <c r="L63" s="196"/>
      <c r="M63" s="197"/>
    </row>
  </sheetData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O309"/>
  <sheetViews>
    <sheetView workbookViewId="0">
      <selection activeCell="D81" sqref="D81"/>
    </sheetView>
  </sheetViews>
  <sheetFormatPr defaultColWidth="11" defaultRowHeight="15.75" x14ac:dyDescent="0.25"/>
  <cols>
    <col min="1" max="1" width="2.625" customWidth="1"/>
    <col min="2" max="2" width="43.625" customWidth="1"/>
    <col min="3" max="3" width="9.875" customWidth="1"/>
    <col min="4" max="7" width="11" customWidth="1"/>
    <col min="9" max="13" width="12.625" customWidth="1"/>
  </cols>
  <sheetData>
    <row r="1" spans="1:13" ht="22.5" x14ac:dyDescent="0.3">
      <c r="A1" s="46" t="str">
        <f>C3</f>
        <v>Inglis' Steel Mills</v>
      </c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</row>
    <row r="2" spans="1:13" ht="15.6" customHeight="1" x14ac:dyDescent="0.25">
      <c r="A2" s="47"/>
      <c r="B2" s="47"/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</row>
    <row r="3" spans="1:13" ht="15.6" customHeight="1" x14ac:dyDescent="0.25">
      <c r="A3" s="47"/>
      <c r="B3" s="47" t="s">
        <v>65</v>
      </c>
      <c r="C3" s="252" t="str">
        <f>Assumptions!C3</f>
        <v>Inglis' Steel Mills</v>
      </c>
      <c r="D3" s="47"/>
      <c r="E3" s="47"/>
      <c r="F3" s="47"/>
      <c r="G3" s="47"/>
      <c r="H3" s="47"/>
      <c r="I3" s="47"/>
      <c r="J3" s="47"/>
      <c r="K3" s="47"/>
      <c r="L3" s="47"/>
      <c r="M3" s="47"/>
    </row>
    <row r="4" spans="1:13" ht="15.6" customHeight="1" x14ac:dyDescent="0.25">
      <c r="A4" s="47"/>
      <c r="B4" s="47" t="s">
        <v>66</v>
      </c>
      <c r="C4" s="252" t="str">
        <f>Assumptions!C4</f>
        <v>ISM</v>
      </c>
      <c r="D4" s="47"/>
      <c r="E4" s="47"/>
      <c r="F4" s="47"/>
      <c r="G4" s="47"/>
      <c r="H4" s="47"/>
      <c r="I4" s="47"/>
      <c r="J4" s="47"/>
      <c r="K4" s="47"/>
      <c r="L4" s="47"/>
      <c r="M4" s="47"/>
    </row>
    <row r="5" spans="1:13" ht="15.6" customHeight="1" x14ac:dyDescent="0.25">
      <c r="A5" s="47"/>
      <c r="B5" s="47" t="s">
        <v>67</v>
      </c>
      <c r="C5" s="253">
        <f>Assumptions!C5</f>
        <v>44103</v>
      </c>
      <c r="D5" s="47"/>
      <c r="E5" s="47"/>
      <c r="F5" s="47"/>
      <c r="G5" s="47"/>
      <c r="H5" s="47"/>
      <c r="I5" s="47"/>
      <c r="J5" s="47"/>
      <c r="K5" s="47"/>
      <c r="L5" s="47"/>
      <c r="M5" s="47"/>
    </row>
    <row r="6" spans="1:13" ht="15.6" customHeight="1" x14ac:dyDescent="0.25">
      <c r="A6" s="47"/>
      <c r="B6" s="47" t="s">
        <v>216</v>
      </c>
      <c r="C6" s="254" t="s">
        <v>218</v>
      </c>
      <c r="D6" s="152" t="s">
        <v>218</v>
      </c>
      <c r="E6" s="152" t="s">
        <v>217</v>
      </c>
      <c r="F6" s="47"/>
      <c r="G6" s="47"/>
      <c r="H6" s="47"/>
      <c r="I6" s="47"/>
      <c r="J6" s="47"/>
      <c r="K6" s="47"/>
      <c r="L6" s="47"/>
      <c r="M6" s="47"/>
    </row>
    <row r="7" spans="1:13" x14ac:dyDescent="0.25">
      <c r="A7" s="47"/>
      <c r="B7" s="47"/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</row>
    <row r="8" spans="1:13" x14ac:dyDescent="0.25">
      <c r="A8" s="50" t="s">
        <v>0</v>
      </c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</row>
    <row r="9" spans="1:13" x14ac:dyDescent="0.25">
      <c r="A9" s="51"/>
      <c r="B9" s="52" t="s">
        <v>69</v>
      </c>
      <c r="C9" s="52"/>
      <c r="D9" s="72">
        <f>E9-1</f>
        <v>2016</v>
      </c>
      <c r="E9" s="72">
        <f>F9-1</f>
        <v>2017</v>
      </c>
      <c r="F9" s="72">
        <f>G9-1</f>
        <v>2018</v>
      </c>
      <c r="G9" s="72">
        <f>H9-1</f>
        <v>2019</v>
      </c>
      <c r="H9" s="72">
        <f t="shared" ref="H9:M9" si="0">YEAR(H10)</f>
        <v>2020</v>
      </c>
      <c r="I9" s="89">
        <f t="shared" si="0"/>
        <v>2021</v>
      </c>
      <c r="J9" s="89">
        <f t="shared" si="0"/>
        <v>2022</v>
      </c>
      <c r="K9" s="89">
        <f t="shared" si="0"/>
        <v>2023</v>
      </c>
      <c r="L9" s="89">
        <f t="shared" si="0"/>
        <v>2024</v>
      </c>
      <c r="M9" s="89">
        <f t="shared" si="0"/>
        <v>2025</v>
      </c>
    </row>
    <row r="10" spans="1:13" x14ac:dyDescent="0.25">
      <c r="A10" s="53"/>
      <c r="B10" s="54" t="s">
        <v>68</v>
      </c>
      <c r="C10" s="54" t="s">
        <v>82</v>
      </c>
      <c r="D10" s="73">
        <f>EOMONTH(E10,-12)</f>
        <v>42643</v>
      </c>
      <c r="E10" s="73">
        <f>EOMONTH(F10,-12)</f>
        <v>43008</v>
      </c>
      <c r="F10" s="73">
        <f>EOMONTH(G10,-12)</f>
        <v>43373</v>
      </c>
      <c r="G10" s="73">
        <f>EOMONTH(H10,-12)</f>
        <v>43738</v>
      </c>
      <c r="H10" s="73">
        <f>C5</f>
        <v>44103</v>
      </c>
      <c r="I10" s="90">
        <f>EOMONTH(H10,12)</f>
        <v>44469</v>
      </c>
      <c r="J10" s="90">
        <f>EOMONTH(I10,12)</f>
        <v>44834</v>
      </c>
      <c r="K10" s="90">
        <f>EOMONTH(J10,12)</f>
        <v>45199</v>
      </c>
      <c r="L10" s="90">
        <f>EOMONTH(K10,12)</f>
        <v>45565</v>
      </c>
      <c r="M10" s="90">
        <f>EOMONTH(L10,12)</f>
        <v>45930</v>
      </c>
    </row>
    <row r="11" spans="1:13" x14ac:dyDescent="0.25">
      <c r="A11" s="52"/>
      <c r="B11" s="52"/>
      <c r="C11" s="51"/>
      <c r="D11" s="34"/>
      <c r="E11" s="34"/>
      <c r="F11" s="34"/>
      <c r="G11" s="34"/>
      <c r="H11" s="34"/>
      <c r="I11" s="91"/>
      <c r="J11" s="91"/>
      <c r="K11" s="91"/>
      <c r="L11" s="91"/>
      <c r="M11" s="91"/>
    </row>
    <row r="12" spans="1:13" x14ac:dyDescent="0.25">
      <c r="A12" s="47"/>
      <c r="B12" s="47" t="s">
        <v>1</v>
      </c>
      <c r="C12" s="55" t="s">
        <v>64</v>
      </c>
      <c r="D12" s="25">
        <f t="shared" ref="D12:M12" si="1">D52</f>
        <v>748.5</v>
      </c>
      <c r="E12" s="25">
        <f t="shared" si="1"/>
        <v>792.6</v>
      </c>
      <c r="F12" s="25">
        <f t="shared" si="1"/>
        <v>800.2</v>
      </c>
      <c r="G12" s="25">
        <f t="shared" si="1"/>
        <v>944</v>
      </c>
      <c r="H12" s="25">
        <f t="shared" si="1"/>
        <v>1000</v>
      </c>
      <c r="I12" s="92">
        <f t="shared" si="1"/>
        <v>1024.52</v>
      </c>
      <c r="J12" s="92">
        <f t="shared" si="1"/>
        <v>1049.7208000000001</v>
      </c>
      <c r="K12" s="92">
        <f t="shared" si="1"/>
        <v>1075.6222760000001</v>
      </c>
      <c r="L12" s="92">
        <f t="shared" si="1"/>
        <v>1102.2448948000001</v>
      </c>
      <c r="M12" s="92">
        <f t="shared" si="1"/>
        <v>1129.6097316692003</v>
      </c>
    </row>
    <row r="13" spans="1:13" x14ac:dyDescent="0.25">
      <c r="A13" s="47"/>
      <c r="B13" s="47" t="s">
        <v>2</v>
      </c>
      <c r="C13" s="47" t="s">
        <v>64</v>
      </c>
      <c r="D13" s="28">
        <v>470.1</v>
      </c>
      <c r="E13" s="28">
        <v>496.7</v>
      </c>
      <c r="F13" s="28">
        <v>504.8</v>
      </c>
      <c r="G13" s="28">
        <v>566.70000000000005</v>
      </c>
      <c r="H13" s="28">
        <v>607.70000000000005</v>
      </c>
      <c r="I13" s="182">
        <f>I12-I14</f>
        <v>655.69280000000003</v>
      </c>
      <c r="J13" s="93">
        <f>J12-J14</f>
        <v>671.82131200000003</v>
      </c>
      <c r="K13" s="93">
        <f>K12-K14</f>
        <v>688.39825664</v>
      </c>
      <c r="L13" s="93">
        <f>L12-L14</f>
        <v>705.43673267200006</v>
      </c>
      <c r="M13" s="93">
        <f>M12-M14</f>
        <v>722.95022826828813</v>
      </c>
    </row>
    <row r="14" spans="1:13" x14ac:dyDescent="0.25">
      <c r="A14" s="47"/>
      <c r="B14" s="50" t="s">
        <v>70</v>
      </c>
      <c r="C14" s="47" t="s">
        <v>64</v>
      </c>
      <c r="D14" s="74">
        <f>D12-D13</f>
        <v>278.39999999999998</v>
      </c>
      <c r="E14" s="74">
        <f>E12-E13</f>
        <v>295.90000000000003</v>
      </c>
      <c r="F14" s="74">
        <f>F12-F13</f>
        <v>295.40000000000003</v>
      </c>
      <c r="G14" s="74">
        <f>G12-G13</f>
        <v>377.29999999999995</v>
      </c>
      <c r="H14" s="74">
        <f>H12-H13</f>
        <v>392.29999999999995</v>
      </c>
      <c r="I14" s="198">
        <f>I40*I12</f>
        <v>368.8272</v>
      </c>
      <c r="J14" s="94">
        <f>J40*J12</f>
        <v>377.89948800000002</v>
      </c>
      <c r="K14" s="94">
        <f>K40*K12</f>
        <v>387.22401936</v>
      </c>
      <c r="L14" s="94">
        <f>L40*L12</f>
        <v>396.80816212800005</v>
      </c>
      <c r="M14" s="94">
        <f>M40*M12</f>
        <v>406.65950340091212</v>
      </c>
    </row>
    <row r="15" spans="1:13" x14ac:dyDescent="0.25">
      <c r="A15" s="47"/>
      <c r="B15" s="47" t="s">
        <v>60</v>
      </c>
      <c r="C15" s="47" t="s">
        <v>64</v>
      </c>
      <c r="D15" s="28">
        <v>8.1999999999999993</v>
      </c>
      <c r="E15" s="28">
        <v>8.3000000000000007</v>
      </c>
      <c r="F15" s="28">
        <v>8.5</v>
      </c>
      <c r="G15" s="28">
        <v>8.6999999999999993</v>
      </c>
      <c r="H15" s="28">
        <v>8.6</v>
      </c>
      <c r="I15" s="182">
        <f>I41*I12</f>
        <v>10.245200000000001</v>
      </c>
      <c r="J15" s="93">
        <f>J41*J12</f>
        <v>10.497208000000001</v>
      </c>
      <c r="K15" s="93">
        <f>K41*K12</f>
        <v>10.75622276</v>
      </c>
      <c r="L15" s="93">
        <f>L41*L12</f>
        <v>11.022448948000001</v>
      </c>
      <c r="M15" s="93">
        <f>M41*M12</f>
        <v>11.296097316692004</v>
      </c>
    </row>
    <row r="16" spans="1:13" x14ac:dyDescent="0.25">
      <c r="A16" s="47"/>
      <c r="B16" s="47" t="s">
        <v>3</v>
      </c>
      <c r="C16" s="47" t="s">
        <v>64</v>
      </c>
      <c r="D16" s="28">
        <v>115.2</v>
      </c>
      <c r="E16" s="28">
        <v>121.8</v>
      </c>
      <c r="F16" s="28">
        <v>122.6</v>
      </c>
      <c r="G16" s="28">
        <v>160.60000000000002</v>
      </c>
      <c r="H16" s="28">
        <v>113.7</v>
      </c>
      <c r="I16" s="182">
        <f>I42*I12</f>
        <v>112.6972</v>
      </c>
      <c r="J16" s="93">
        <f>J42*J12</f>
        <v>115.46928800000001</v>
      </c>
      <c r="K16" s="93">
        <f>K42*K12</f>
        <v>118.31845036</v>
      </c>
      <c r="L16" s="93">
        <f>L42*L12</f>
        <v>121.24693842800001</v>
      </c>
      <c r="M16" s="93">
        <f>M42*M12</f>
        <v>124.25707048361204</v>
      </c>
    </row>
    <row r="17" spans="1:15" x14ac:dyDescent="0.25">
      <c r="A17" s="47"/>
      <c r="B17" s="50" t="s">
        <v>246</v>
      </c>
      <c r="C17" s="47" t="s">
        <v>64</v>
      </c>
      <c r="D17" s="74">
        <f t="shared" ref="D17:M17" si="2">D14-SUM(D15:D16)</f>
        <v>154.99999999999997</v>
      </c>
      <c r="E17" s="74">
        <f t="shared" si="2"/>
        <v>165.80000000000004</v>
      </c>
      <c r="F17" s="74">
        <f t="shared" si="2"/>
        <v>164.30000000000004</v>
      </c>
      <c r="G17" s="74">
        <f t="shared" si="2"/>
        <v>207.99999999999994</v>
      </c>
      <c r="H17" s="74">
        <f t="shared" si="2"/>
        <v>269.99999999999994</v>
      </c>
      <c r="I17" s="198">
        <f t="shared" si="2"/>
        <v>245.88480000000001</v>
      </c>
      <c r="J17" s="94">
        <f t="shared" si="2"/>
        <v>251.93299200000001</v>
      </c>
      <c r="K17" s="94">
        <f t="shared" si="2"/>
        <v>258.14934624</v>
      </c>
      <c r="L17" s="94">
        <f t="shared" si="2"/>
        <v>264.53877475200005</v>
      </c>
      <c r="M17" s="94">
        <f t="shared" si="2"/>
        <v>271.10633560060808</v>
      </c>
    </row>
    <row r="18" spans="1:15" x14ac:dyDescent="0.25">
      <c r="A18" s="47"/>
      <c r="B18" s="47" t="s">
        <v>4</v>
      </c>
      <c r="C18" s="47" t="s">
        <v>64</v>
      </c>
      <c r="D18" s="28">
        <v>57.8</v>
      </c>
      <c r="E18" s="28">
        <v>53.6</v>
      </c>
      <c r="F18" s="28">
        <v>54.3</v>
      </c>
      <c r="G18" s="28">
        <v>49.9</v>
      </c>
      <c r="H18" s="28">
        <v>53.8</v>
      </c>
      <c r="I18" s="182">
        <f>I162</f>
        <v>55.978999999999999</v>
      </c>
      <c r="J18" s="93">
        <f>J162</f>
        <v>57.408042999999999</v>
      </c>
      <c r="K18" s="93">
        <f>K162</f>
        <v>58.869372155000008</v>
      </c>
      <c r="L18" s="93">
        <f>L162</f>
        <v>60.364294700874993</v>
      </c>
      <c r="M18" s="93">
        <f>M162</f>
        <v>61.894136029446869</v>
      </c>
    </row>
    <row r="19" spans="1:15" x14ac:dyDescent="0.25">
      <c r="A19" s="47"/>
      <c r="B19" s="50" t="s">
        <v>72</v>
      </c>
      <c r="C19" s="47" t="s">
        <v>64</v>
      </c>
      <c r="D19" s="74">
        <f t="shared" ref="D19:I19" si="3">D17-D18</f>
        <v>97.199999999999974</v>
      </c>
      <c r="E19" s="74">
        <f t="shared" si="3"/>
        <v>112.20000000000005</v>
      </c>
      <c r="F19" s="74">
        <f t="shared" si="3"/>
        <v>110.00000000000004</v>
      </c>
      <c r="G19" s="74">
        <f t="shared" si="3"/>
        <v>158.09999999999994</v>
      </c>
      <c r="H19" s="74">
        <f t="shared" si="3"/>
        <v>216.19999999999993</v>
      </c>
      <c r="I19" s="198">
        <f t="shared" si="3"/>
        <v>189.9058</v>
      </c>
      <c r="J19" s="94">
        <f>J17-J20</f>
        <v>250.70356800000002</v>
      </c>
      <c r="K19" s="94">
        <f>K17-K20</f>
        <v>256.88968127999999</v>
      </c>
      <c r="L19" s="94">
        <f>L17-L20</f>
        <v>263.24802802080006</v>
      </c>
      <c r="M19" s="94">
        <f>M17-M20</f>
        <v>269.78364172684809</v>
      </c>
    </row>
    <row r="20" spans="1:15" x14ac:dyDescent="0.25">
      <c r="A20" s="47"/>
      <c r="B20" s="47" t="s">
        <v>63</v>
      </c>
      <c r="C20" s="47" t="s">
        <v>64</v>
      </c>
      <c r="D20" s="28">
        <v>0</v>
      </c>
      <c r="E20" s="28">
        <v>0</v>
      </c>
      <c r="F20" s="28">
        <v>0</v>
      </c>
      <c r="G20" s="28">
        <v>0</v>
      </c>
      <c r="H20" s="28">
        <v>0</v>
      </c>
      <c r="I20" s="95">
        <f>I308</f>
        <v>1.7</v>
      </c>
      <c r="J20" s="95">
        <f>J308</f>
        <v>1.2294240000000007</v>
      </c>
      <c r="K20" s="95">
        <f>K308</f>
        <v>1.2596649600000009</v>
      </c>
      <c r="L20" s="95">
        <f>L308</f>
        <v>1.2907467311999989</v>
      </c>
      <c r="M20" s="95">
        <f>M308</f>
        <v>1.32269387376</v>
      </c>
    </row>
    <row r="21" spans="1:15" x14ac:dyDescent="0.25">
      <c r="A21" s="47"/>
      <c r="B21" s="47" t="s">
        <v>5</v>
      </c>
      <c r="C21" s="47" t="s">
        <v>64</v>
      </c>
      <c r="D21" s="28">
        <v>12.8</v>
      </c>
      <c r="E21" s="28">
        <v>3.6</v>
      </c>
      <c r="F21" s="28">
        <v>18.7</v>
      </c>
      <c r="G21" s="28">
        <v>3.1</v>
      </c>
      <c r="H21" s="28">
        <v>3.4</v>
      </c>
      <c r="I21" s="93">
        <f>I182+I299</f>
        <v>2.972</v>
      </c>
      <c r="J21" s="93">
        <f>J182+J299</f>
        <v>2.972</v>
      </c>
      <c r="K21" s="93">
        <f>K182+K299</f>
        <v>2.972</v>
      </c>
      <c r="L21" s="93">
        <f>L182+L299</f>
        <v>2.972</v>
      </c>
      <c r="M21" s="93">
        <f>M182+M299</f>
        <v>2.972</v>
      </c>
    </row>
    <row r="22" spans="1:15" x14ac:dyDescent="0.25">
      <c r="A22" s="47"/>
      <c r="B22" s="47" t="s">
        <v>61</v>
      </c>
      <c r="C22" s="47" t="s">
        <v>64</v>
      </c>
      <c r="D22" s="41">
        <v>-2.2000000000000002</v>
      </c>
      <c r="E22" s="28">
        <v>2.7</v>
      </c>
      <c r="F22" s="28">
        <v>6.8</v>
      </c>
      <c r="G22" s="28">
        <v>0</v>
      </c>
      <c r="H22" s="28">
        <v>0</v>
      </c>
      <c r="I22" s="93">
        <f>I44*I12</f>
        <v>0</v>
      </c>
      <c r="J22" s="93">
        <f>J44*J12</f>
        <v>0</v>
      </c>
      <c r="K22" s="93">
        <f>K44*K12</f>
        <v>0</v>
      </c>
      <c r="L22" s="93">
        <f>L44*L12</f>
        <v>0</v>
      </c>
      <c r="M22" s="93">
        <f>M44*M12</f>
        <v>0</v>
      </c>
    </row>
    <row r="23" spans="1:15" x14ac:dyDescent="0.25">
      <c r="A23" s="47"/>
      <c r="B23" s="50" t="s">
        <v>73</v>
      </c>
      <c r="C23" s="47" t="s">
        <v>64</v>
      </c>
      <c r="D23" s="27">
        <f t="shared" ref="D23:M23" si="4">D19+D20-D21+D22</f>
        <v>82.199999999999974</v>
      </c>
      <c r="E23" s="27">
        <f t="shared" si="4"/>
        <v>111.30000000000005</v>
      </c>
      <c r="F23" s="27">
        <f t="shared" si="4"/>
        <v>98.100000000000037</v>
      </c>
      <c r="G23" s="27">
        <f t="shared" si="4"/>
        <v>154.99999999999994</v>
      </c>
      <c r="H23" s="27">
        <f t="shared" si="4"/>
        <v>212.79999999999993</v>
      </c>
      <c r="I23" s="94">
        <f t="shared" si="4"/>
        <v>188.63379999999998</v>
      </c>
      <c r="J23" s="94">
        <f t="shared" si="4"/>
        <v>248.960992</v>
      </c>
      <c r="K23" s="94">
        <f t="shared" si="4"/>
        <v>255.17734623999999</v>
      </c>
      <c r="L23" s="94">
        <f t="shared" si="4"/>
        <v>261.56677475200007</v>
      </c>
      <c r="M23" s="94">
        <f t="shared" si="4"/>
        <v>268.1343356006081</v>
      </c>
    </row>
    <row r="24" spans="1:15" x14ac:dyDescent="0.25">
      <c r="A24" s="47"/>
      <c r="B24" s="47" t="s">
        <v>6</v>
      </c>
      <c r="C24" s="47" t="s">
        <v>64</v>
      </c>
      <c r="D24" s="28">
        <v>29.7</v>
      </c>
      <c r="E24" s="28">
        <v>29.8</v>
      </c>
      <c r="F24" s="28">
        <v>26.4</v>
      </c>
      <c r="G24" s="28">
        <v>62</v>
      </c>
      <c r="H24" s="28">
        <v>85</v>
      </c>
      <c r="I24" s="93">
        <f>I43*I23</f>
        <v>75.453519999999997</v>
      </c>
      <c r="J24" s="93">
        <f>J43*J23</f>
        <v>99.584396800000007</v>
      </c>
      <c r="K24" s="93">
        <f>K43*K23</f>
        <v>102.070938496</v>
      </c>
      <c r="L24" s="93">
        <f>L43*L23</f>
        <v>104.62670990080004</v>
      </c>
      <c r="M24" s="93">
        <f>M43*M23</f>
        <v>107.25373424024325</v>
      </c>
    </row>
    <row r="25" spans="1:15" x14ac:dyDescent="0.25">
      <c r="A25" s="47"/>
      <c r="B25" s="50" t="s">
        <v>74</v>
      </c>
      <c r="C25" s="47" t="s">
        <v>64</v>
      </c>
      <c r="D25" s="74">
        <f t="shared" ref="D25:M25" si="5">D23-D24</f>
        <v>52.499999999999972</v>
      </c>
      <c r="E25" s="74">
        <f t="shared" si="5"/>
        <v>81.500000000000057</v>
      </c>
      <c r="F25" s="74">
        <f t="shared" si="5"/>
        <v>71.700000000000045</v>
      </c>
      <c r="G25" s="74">
        <f t="shared" si="5"/>
        <v>92.999999999999943</v>
      </c>
      <c r="H25" s="74">
        <f t="shared" si="5"/>
        <v>127.79999999999993</v>
      </c>
      <c r="I25" s="94">
        <f t="shared" si="5"/>
        <v>113.18027999999998</v>
      </c>
      <c r="J25" s="94">
        <f t="shared" si="5"/>
        <v>149.3765952</v>
      </c>
      <c r="K25" s="94">
        <f t="shared" si="5"/>
        <v>153.10640774399999</v>
      </c>
      <c r="L25" s="94">
        <f t="shared" si="5"/>
        <v>156.94006485120002</v>
      </c>
      <c r="M25" s="94">
        <f t="shared" si="5"/>
        <v>160.88060136036484</v>
      </c>
    </row>
    <row r="26" spans="1:15" x14ac:dyDescent="0.25">
      <c r="A26" s="47"/>
      <c r="B26" s="47"/>
      <c r="C26" s="47"/>
      <c r="D26" s="24"/>
      <c r="E26" s="24"/>
      <c r="F26" s="24"/>
      <c r="G26" s="24"/>
      <c r="H26" s="24"/>
      <c r="I26" s="91"/>
      <c r="J26" s="91"/>
      <c r="K26" s="91"/>
      <c r="L26" s="91"/>
      <c r="M26" s="91"/>
    </row>
    <row r="27" spans="1:15" x14ac:dyDescent="0.25">
      <c r="A27" s="47"/>
      <c r="B27" s="47" t="s">
        <v>7</v>
      </c>
      <c r="C27" s="47" t="s">
        <v>64</v>
      </c>
      <c r="D27" s="28">
        <v>21.1</v>
      </c>
      <c r="E27" s="28">
        <v>32.6</v>
      </c>
      <c r="F27" s="28">
        <v>43.1</v>
      </c>
      <c r="G27" s="28">
        <v>55.8</v>
      </c>
      <c r="H27" s="28">
        <v>76.7</v>
      </c>
      <c r="I27" s="93">
        <f>I34*I25</f>
        <v>59.985548399999992</v>
      </c>
      <c r="J27" s="93">
        <f>J34*J25</f>
        <v>79.169595455999996</v>
      </c>
      <c r="K27" s="93">
        <f>K34*K25</f>
        <v>81.146396104320004</v>
      </c>
      <c r="L27" s="93">
        <f>L34*L25</f>
        <v>83.178234371136014</v>
      </c>
      <c r="M27" s="93">
        <f>M34*M25</f>
        <v>85.266718720993367</v>
      </c>
    </row>
    <row r="28" spans="1:15" x14ac:dyDescent="0.25">
      <c r="A28" s="47"/>
      <c r="B28" s="47" t="s">
        <v>50</v>
      </c>
      <c r="C28" s="47" t="s">
        <v>64</v>
      </c>
      <c r="D28" s="24">
        <f t="shared" ref="D28:M28" si="6">D25-D27</f>
        <v>31.39999999999997</v>
      </c>
      <c r="E28" s="24">
        <f t="shared" si="6"/>
        <v>48.900000000000055</v>
      </c>
      <c r="F28" s="24">
        <f t="shared" si="6"/>
        <v>28.600000000000044</v>
      </c>
      <c r="G28" s="24">
        <f t="shared" si="6"/>
        <v>37.199999999999946</v>
      </c>
      <c r="H28" s="24">
        <f t="shared" si="6"/>
        <v>51.099999999999923</v>
      </c>
      <c r="I28" s="93">
        <f t="shared" si="6"/>
        <v>53.19473159999999</v>
      </c>
      <c r="J28" s="93">
        <f t="shared" si="6"/>
        <v>70.206999744000001</v>
      </c>
      <c r="K28" s="93">
        <f t="shared" si="6"/>
        <v>71.96001163967999</v>
      </c>
      <c r="L28" s="93">
        <f t="shared" si="6"/>
        <v>73.761830480064006</v>
      </c>
      <c r="M28" s="93">
        <f t="shared" si="6"/>
        <v>75.613882639371468</v>
      </c>
    </row>
    <row r="29" spans="1:15" x14ac:dyDescent="0.25">
      <c r="A29" s="47"/>
      <c r="B29" s="47"/>
      <c r="C29" s="47"/>
      <c r="D29" s="24"/>
      <c r="E29" s="24"/>
      <c r="F29" s="24"/>
      <c r="G29" s="24"/>
      <c r="H29" s="24"/>
      <c r="I29" s="91"/>
      <c r="J29" s="91"/>
      <c r="K29" s="91"/>
      <c r="L29" s="91"/>
      <c r="M29" s="91"/>
    </row>
    <row r="30" spans="1:15" x14ac:dyDescent="0.25">
      <c r="A30" s="47"/>
      <c r="B30" s="47" t="s">
        <v>48</v>
      </c>
      <c r="C30" s="47" t="s">
        <v>80</v>
      </c>
      <c r="D30" s="41">
        <v>10</v>
      </c>
      <c r="E30" s="41">
        <v>10</v>
      </c>
      <c r="F30" s="41">
        <v>10</v>
      </c>
      <c r="G30" s="41">
        <v>10</v>
      </c>
      <c r="H30" s="41">
        <v>10</v>
      </c>
      <c r="I30" s="176">
        <f>I211</f>
        <v>10</v>
      </c>
      <c r="J30" s="176">
        <f>J211</f>
        <v>10</v>
      </c>
      <c r="K30" s="176">
        <f>K211</f>
        <v>10</v>
      </c>
      <c r="L30" s="176">
        <f>L211</f>
        <v>10</v>
      </c>
      <c r="M30" s="176">
        <f>M211</f>
        <v>10</v>
      </c>
    </row>
    <row r="31" spans="1:15" s="22" customFormat="1" x14ac:dyDescent="0.25">
      <c r="A31" s="47"/>
      <c r="B31" s="47" t="s">
        <v>314</v>
      </c>
      <c r="C31" s="47" t="s">
        <v>92</v>
      </c>
      <c r="D31" s="41"/>
      <c r="E31" s="213">
        <f>E25/D25-1</f>
        <v>0.55238095238095419</v>
      </c>
      <c r="F31" s="213">
        <f t="shared" ref="F31:M31" si="7">F25/E25-1</f>
        <v>-0.12024539877300622</v>
      </c>
      <c r="G31" s="213">
        <f t="shared" si="7"/>
        <v>0.29707112970711136</v>
      </c>
      <c r="H31" s="213">
        <f t="shared" si="7"/>
        <v>0.37419354838709684</v>
      </c>
      <c r="I31" s="221">
        <f t="shared" si="7"/>
        <v>-0.11439530516431884</v>
      </c>
      <c r="J31" s="221">
        <f t="shared" si="7"/>
        <v>0.31981114731294191</v>
      </c>
      <c r="K31" s="221">
        <f t="shared" si="7"/>
        <v>2.4969189711454787E-2</v>
      </c>
      <c r="L31" s="221">
        <f t="shared" si="7"/>
        <v>2.5039168273153223E-2</v>
      </c>
      <c r="M31" s="221">
        <f t="shared" si="7"/>
        <v>2.5108543907516268E-2</v>
      </c>
      <c r="N31"/>
      <c r="O31"/>
    </row>
    <row r="32" spans="1:15" x14ac:dyDescent="0.25">
      <c r="A32" s="47"/>
      <c r="B32" s="47" t="s">
        <v>96</v>
      </c>
      <c r="C32" s="47" t="s">
        <v>81</v>
      </c>
      <c r="D32" s="29">
        <f t="shared" ref="D32:M32" si="8">D25/D211</f>
        <v>5.2499999999999973</v>
      </c>
      <c r="E32" s="29">
        <f t="shared" si="8"/>
        <v>8.1500000000000057</v>
      </c>
      <c r="F32" s="29">
        <f t="shared" si="8"/>
        <v>7.1700000000000044</v>
      </c>
      <c r="G32" s="29">
        <f t="shared" si="8"/>
        <v>9.2999999999999936</v>
      </c>
      <c r="H32" s="29">
        <f t="shared" si="8"/>
        <v>12.779999999999992</v>
      </c>
      <c r="I32" s="97">
        <f t="shared" si="8"/>
        <v>11.318027999999998</v>
      </c>
      <c r="J32" s="97">
        <f t="shared" si="8"/>
        <v>14.93765952</v>
      </c>
      <c r="K32" s="97">
        <f t="shared" si="8"/>
        <v>15.310640774399999</v>
      </c>
      <c r="L32" s="97">
        <f t="shared" si="8"/>
        <v>15.694006485120003</v>
      </c>
      <c r="M32" s="97">
        <f t="shared" si="8"/>
        <v>16.088060136036482</v>
      </c>
    </row>
    <row r="33" spans="1:15" x14ac:dyDescent="0.25">
      <c r="A33" s="47"/>
      <c r="B33" s="47" t="s">
        <v>97</v>
      </c>
      <c r="C33" s="47" t="s">
        <v>81</v>
      </c>
      <c r="D33" s="30">
        <f t="shared" ref="D33:M33" si="9">D27/D211</f>
        <v>2.1100000000000003</v>
      </c>
      <c r="E33" s="30">
        <f t="shared" si="9"/>
        <v>3.2600000000000002</v>
      </c>
      <c r="F33" s="30">
        <f t="shared" si="9"/>
        <v>4.3100000000000005</v>
      </c>
      <c r="G33" s="30">
        <f t="shared" si="9"/>
        <v>5.58</v>
      </c>
      <c r="H33" s="30">
        <f t="shared" si="9"/>
        <v>7.67</v>
      </c>
      <c r="I33" s="95">
        <f t="shared" si="9"/>
        <v>5.9985548399999988</v>
      </c>
      <c r="J33" s="95">
        <f t="shared" si="9"/>
        <v>7.9169595455999993</v>
      </c>
      <c r="K33" s="95">
        <f t="shared" si="9"/>
        <v>8.1146396104320004</v>
      </c>
      <c r="L33" s="95">
        <f t="shared" si="9"/>
        <v>8.3178234371136011</v>
      </c>
      <c r="M33" s="95">
        <f t="shared" si="9"/>
        <v>8.5266718720993371</v>
      </c>
    </row>
    <row r="34" spans="1:15" x14ac:dyDescent="0.25">
      <c r="A34" s="47"/>
      <c r="B34" s="47" t="s">
        <v>98</v>
      </c>
      <c r="C34" s="47" t="s">
        <v>92</v>
      </c>
      <c r="D34" s="39">
        <f>D33/D32</f>
        <v>0.40190476190476215</v>
      </c>
      <c r="E34" s="39">
        <f>E33/E32</f>
        <v>0.39999999999999974</v>
      </c>
      <c r="F34" s="39">
        <f>F33/F32</f>
        <v>0.60111576011157575</v>
      </c>
      <c r="G34" s="39">
        <f>G33/G32</f>
        <v>0.60000000000000042</v>
      </c>
      <c r="H34" s="39">
        <f>H33/H32</f>
        <v>0.60015649452269204</v>
      </c>
      <c r="I34" s="170">
        <f>Assumptions!I27</f>
        <v>0.53</v>
      </c>
      <c r="J34" s="170">
        <f>Assumptions!J27</f>
        <v>0.53</v>
      </c>
      <c r="K34" s="170">
        <f>Assumptions!K27</f>
        <v>0.53</v>
      </c>
      <c r="L34" s="170">
        <f>Assumptions!L27</f>
        <v>0.53</v>
      </c>
      <c r="M34" s="170">
        <f>Assumptions!M27</f>
        <v>0.53</v>
      </c>
      <c r="N34" s="22"/>
      <c r="O34" s="22"/>
    </row>
    <row r="35" spans="1:15" x14ac:dyDescent="0.25">
      <c r="A35" s="47"/>
      <c r="B35" s="47"/>
      <c r="C35" s="47"/>
      <c r="D35" s="39"/>
      <c r="E35" s="39"/>
      <c r="F35" s="39"/>
      <c r="G35" s="39"/>
      <c r="H35" s="39"/>
      <c r="I35" s="91"/>
      <c r="J35" s="91"/>
      <c r="K35" s="91"/>
      <c r="L35" s="91"/>
      <c r="M35" s="91"/>
    </row>
    <row r="36" spans="1:15" x14ac:dyDescent="0.25">
      <c r="A36" s="50" t="s">
        <v>175</v>
      </c>
      <c r="B36" s="47"/>
      <c r="C36" s="47"/>
      <c r="D36" s="39"/>
      <c r="E36" s="39"/>
      <c r="F36" s="39"/>
      <c r="G36" s="39"/>
      <c r="H36" s="39"/>
      <c r="I36" s="91"/>
      <c r="J36" s="91"/>
      <c r="K36" s="91"/>
      <c r="L36" s="91"/>
      <c r="M36" s="91"/>
    </row>
    <row r="37" spans="1:15" x14ac:dyDescent="0.25">
      <c r="A37" s="52"/>
      <c r="B37" s="52" t="str">
        <f>B9</f>
        <v>Fiscal year</v>
      </c>
      <c r="C37" s="52"/>
      <c r="D37" s="75">
        <f t="shared" ref="D37:M37" si="10">D9</f>
        <v>2016</v>
      </c>
      <c r="E37" s="75">
        <f t="shared" si="10"/>
        <v>2017</v>
      </c>
      <c r="F37" s="75">
        <f t="shared" si="10"/>
        <v>2018</v>
      </c>
      <c r="G37" s="75">
        <f t="shared" si="10"/>
        <v>2019</v>
      </c>
      <c r="H37" s="75">
        <f t="shared" si="10"/>
        <v>2020</v>
      </c>
      <c r="I37" s="99">
        <f t="shared" si="10"/>
        <v>2021</v>
      </c>
      <c r="J37" s="99">
        <f t="shared" si="10"/>
        <v>2022</v>
      </c>
      <c r="K37" s="99">
        <f t="shared" si="10"/>
        <v>2023</v>
      </c>
      <c r="L37" s="99">
        <f t="shared" si="10"/>
        <v>2024</v>
      </c>
      <c r="M37" s="99">
        <f t="shared" si="10"/>
        <v>2025</v>
      </c>
    </row>
    <row r="38" spans="1:15" x14ac:dyDescent="0.25">
      <c r="A38" s="56"/>
      <c r="B38" s="56" t="str">
        <f>B10</f>
        <v>Fiscal year end date</v>
      </c>
      <c r="C38" s="56" t="str">
        <f>C10</f>
        <v>Units</v>
      </c>
      <c r="D38" s="23">
        <f t="shared" ref="D38:M38" si="11">D10</f>
        <v>42643</v>
      </c>
      <c r="E38" s="23">
        <f t="shared" si="11"/>
        <v>43008</v>
      </c>
      <c r="F38" s="23">
        <f t="shared" si="11"/>
        <v>43373</v>
      </c>
      <c r="G38" s="23">
        <f t="shared" si="11"/>
        <v>43738</v>
      </c>
      <c r="H38" s="23">
        <f t="shared" si="11"/>
        <v>44103</v>
      </c>
      <c r="I38" s="90">
        <f t="shared" si="11"/>
        <v>44469</v>
      </c>
      <c r="J38" s="90">
        <f t="shared" si="11"/>
        <v>44834</v>
      </c>
      <c r="K38" s="90">
        <f t="shared" si="11"/>
        <v>45199</v>
      </c>
      <c r="L38" s="90">
        <f t="shared" si="11"/>
        <v>45565</v>
      </c>
      <c r="M38" s="90">
        <f t="shared" si="11"/>
        <v>45930</v>
      </c>
    </row>
    <row r="39" spans="1:15" x14ac:dyDescent="0.25">
      <c r="A39" s="47"/>
      <c r="B39" s="47"/>
      <c r="C39" s="47"/>
      <c r="D39" s="39"/>
      <c r="E39" s="39"/>
      <c r="F39" s="39"/>
      <c r="G39" s="39"/>
      <c r="H39" s="39"/>
      <c r="I39" s="91"/>
      <c r="J39" s="91"/>
      <c r="K39" s="91"/>
      <c r="L39" s="91"/>
      <c r="M39" s="91"/>
    </row>
    <row r="40" spans="1:15" x14ac:dyDescent="0.25">
      <c r="A40" s="47"/>
      <c r="B40" s="47" t="s">
        <v>174</v>
      </c>
      <c r="C40" s="47" t="s">
        <v>92</v>
      </c>
      <c r="D40" s="39">
        <f>D14/D12</f>
        <v>0.3719438877755511</v>
      </c>
      <c r="E40" s="39">
        <f>E14/E12</f>
        <v>0.37332828665152668</v>
      </c>
      <c r="F40" s="39">
        <f>F14/F12</f>
        <v>0.36915771057235691</v>
      </c>
      <c r="G40" s="39">
        <f>G14/G12</f>
        <v>0.39968220338983046</v>
      </c>
      <c r="H40" s="39">
        <f>H14/H12</f>
        <v>0.39229999999999998</v>
      </c>
      <c r="I40" s="170">
        <f>Assumptions!I21</f>
        <v>0.36</v>
      </c>
      <c r="J40" s="170">
        <f>Assumptions!J21</f>
        <v>0.36</v>
      </c>
      <c r="K40" s="170">
        <f>Assumptions!K21</f>
        <v>0.36</v>
      </c>
      <c r="L40" s="170">
        <f>Assumptions!L21</f>
        <v>0.36</v>
      </c>
      <c r="M40" s="170">
        <f>Assumptions!M21</f>
        <v>0.36</v>
      </c>
    </row>
    <row r="41" spans="1:15" x14ac:dyDescent="0.25">
      <c r="A41" s="47"/>
      <c r="B41" s="47" t="s">
        <v>176</v>
      </c>
      <c r="C41" s="47" t="s">
        <v>92</v>
      </c>
      <c r="D41" s="39">
        <f>D15/D12</f>
        <v>1.0955243820975282E-2</v>
      </c>
      <c r="E41" s="39">
        <f>E15/E12</f>
        <v>1.0471864748927581E-2</v>
      </c>
      <c r="F41" s="39">
        <f>F15/F12</f>
        <v>1.0622344413896525E-2</v>
      </c>
      <c r="G41" s="39">
        <f>G15/G12</f>
        <v>9.2161016949152529E-3</v>
      </c>
      <c r="H41" s="39">
        <f>H15/H12</f>
        <v>8.6E-3</v>
      </c>
      <c r="I41" s="170">
        <f>Assumptions!I22</f>
        <v>0.01</v>
      </c>
      <c r="J41" s="170">
        <f>Assumptions!J22</f>
        <v>0.01</v>
      </c>
      <c r="K41" s="170">
        <f>Assumptions!K22</f>
        <v>0.01</v>
      </c>
      <c r="L41" s="170">
        <f>Assumptions!L22</f>
        <v>0.01</v>
      </c>
      <c r="M41" s="170">
        <f>Assumptions!M22</f>
        <v>0.01</v>
      </c>
    </row>
    <row r="42" spans="1:15" x14ac:dyDescent="0.25">
      <c r="A42" s="47"/>
      <c r="B42" s="47" t="s">
        <v>177</v>
      </c>
      <c r="C42" s="47" t="s">
        <v>92</v>
      </c>
      <c r="D42" s="39">
        <f>D16/D12</f>
        <v>0.15390781563126252</v>
      </c>
      <c r="E42" s="39">
        <f>E16/E12</f>
        <v>0.15367146101438303</v>
      </c>
      <c r="F42" s="39">
        <f>F16/F12</f>
        <v>0.15321169707573104</v>
      </c>
      <c r="G42" s="39">
        <f>G16/G12</f>
        <v>0.17012711864406782</v>
      </c>
      <c r="H42" s="39">
        <f>H16/H12</f>
        <v>0.11370000000000001</v>
      </c>
      <c r="I42" s="170">
        <f>Assumptions!I23</f>
        <v>0.11</v>
      </c>
      <c r="J42" s="170">
        <f>Assumptions!J23</f>
        <v>0.11</v>
      </c>
      <c r="K42" s="170">
        <f>Assumptions!K23</f>
        <v>0.11</v>
      </c>
      <c r="L42" s="170">
        <f>Assumptions!L23</f>
        <v>0.11</v>
      </c>
      <c r="M42" s="170">
        <f>Assumptions!M23</f>
        <v>0.11</v>
      </c>
    </row>
    <row r="43" spans="1:15" x14ac:dyDescent="0.25">
      <c r="A43" s="47"/>
      <c r="B43" s="47" t="s">
        <v>178</v>
      </c>
      <c r="C43" s="47" t="s">
        <v>92</v>
      </c>
      <c r="D43" s="39">
        <f>D24/D23</f>
        <v>0.3613138686131388</v>
      </c>
      <c r="E43" s="39">
        <f>E24/E23</f>
        <v>0.26774483378256952</v>
      </c>
      <c r="F43" s="39">
        <f>F24/F23</f>
        <v>0.26911314984709467</v>
      </c>
      <c r="G43" s="39">
        <f>G24/G23</f>
        <v>0.40000000000000013</v>
      </c>
      <c r="H43" s="39">
        <f>H24/H23</f>
        <v>0.39943609022556403</v>
      </c>
      <c r="I43" s="170">
        <f>Assumptions!I24</f>
        <v>0.4</v>
      </c>
      <c r="J43" s="170">
        <f>Assumptions!J24</f>
        <v>0.4</v>
      </c>
      <c r="K43" s="170">
        <f>Assumptions!K24</f>
        <v>0.4</v>
      </c>
      <c r="L43" s="170">
        <f>Assumptions!L24</f>
        <v>0.4</v>
      </c>
      <c r="M43" s="170">
        <f>Assumptions!M24</f>
        <v>0.4</v>
      </c>
    </row>
    <row r="44" spans="1:15" x14ac:dyDescent="0.25">
      <c r="A44" s="47"/>
      <c r="B44" s="47" t="s">
        <v>184</v>
      </c>
      <c r="C44" s="47" t="s">
        <v>92</v>
      </c>
      <c r="D44" s="76">
        <f>D22/D12</f>
        <v>-2.9392117568470275E-3</v>
      </c>
      <c r="E44" s="76">
        <f>E22/E12</f>
        <v>3.4065102195306586E-3</v>
      </c>
      <c r="F44" s="76">
        <f>F22/F12</f>
        <v>8.4978755311172199E-3</v>
      </c>
      <c r="G44" s="76">
        <f>G22/G12</f>
        <v>0</v>
      </c>
      <c r="H44" s="76">
        <f>H22/H12</f>
        <v>0</v>
      </c>
      <c r="I44" s="170">
        <f>Assumptions!I25</f>
        <v>0</v>
      </c>
      <c r="J44" s="170">
        <f>Assumptions!J25</f>
        <v>0</v>
      </c>
      <c r="K44" s="170">
        <f>Assumptions!K25</f>
        <v>0</v>
      </c>
      <c r="L44" s="170">
        <f>Assumptions!L25</f>
        <v>0</v>
      </c>
      <c r="M44" s="170">
        <f>Assumptions!M25</f>
        <v>0</v>
      </c>
    </row>
    <row r="45" spans="1:15" x14ac:dyDescent="0.25">
      <c r="A45" s="47"/>
      <c r="B45" s="47"/>
      <c r="C45" s="47"/>
      <c r="D45" s="30"/>
      <c r="E45" s="30"/>
      <c r="F45" s="30"/>
      <c r="G45" s="30"/>
      <c r="H45" s="30"/>
      <c r="I45" s="91"/>
      <c r="J45" s="91"/>
      <c r="K45" s="91"/>
      <c r="L45" s="91"/>
      <c r="M45" s="91"/>
    </row>
    <row r="46" spans="1:15" x14ac:dyDescent="0.25">
      <c r="A46" s="50" t="s">
        <v>55</v>
      </c>
      <c r="B46" s="47"/>
      <c r="C46" s="47"/>
      <c r="D46" s="24"/>
      <c r="E46" s="24"/>
      <c r="F46" s="24"/>
      <c r="G46" s="24"/>
      <c r="H46" s="24"/>
      <c r="I46" s="91"/>
      <c r="J46" s="91"/>
      <c r="K46" s="91"/>
      <c r="L46" s="91"/>
      <c r="M46" s="91"/>
    </row>
    <row r="47" spans="1:15" s="11" customFormat="1" x14ac:dyDescent="0.25">
      <c r="A47" s="51"/>
      <c r="B47" s="52" t="str">
        <f>B9</f>
        <v>Fiscal year</v>
      </c>
      <c r="C47" s="52"/>
      <c r="D47" s="75">
        <f t="shared" ref="D47:M47" si="12">D9</f>
        <v>2016</v>
      </c>
      <c r="E47" s="75">
        <f t="shared" si="12"/>
        <v>2017</v>
      </c>
      <c r="F47" s="75">
        <f t="shared" si="12"/>
        <v>2018</v>
      </c>
      <c r="G47" s="75">
        <f t="shared" si="12"/>
        <v>2019</v>
      </c>
      <c r="H47" s="75">
        <f t="shared" si="12"/>
        <v>2020</v>
      </c>
      <c r="I47" s="99">
        <f t="shared" si="12"/>
        <v>2021</v>
      </c>
      <c r="J47" s="99">
        <f t="shared" si="12"/>
        <v>2022</v>
      </c>
      <c r="K47" s="99">
        <f t="shared" si="12"/>
        <v>2023</v>
      </c>
      <c r="L47" s="99">
        <f t="shared" si="12"/>
        <v>2024</v>
      </c>
      <c r="M47" s="99">
        <f t="shared" si="12"/>
        <v>2025</v>
      </c>
    </row>
    <row r="48" spans="1:15" x14ac:dyDescent="0.25">
      <c r="A48" s="50"/>
      <c r="B48" s="47" t="str">
        <f>B10</f>
        <v>Fiscal year end date</v>
      </c>
      <c r="C48" s="47" t="str">
        <f>C10</f>
        <v>Units</v>
      </c>
      <c r="D48" s="77">
        <f t="shared" ref="D48:M48" si="13">D10</f>
        <v>42643</v>
      </c>
      <c r="E48" s="77">
        <f t="shared" si="13"/>
        <v>43008</v>
      </c>
      <c r="F48" s="77">
        <f t="shared" si="13"/>
        <v>43373</v>
      </c>
      <c r="G48" s="77">
        <f t="shared" si="13"/>
        <v>43738</v>
      </c>
      <c r="H48" s="77">
        <f t="shared" si="13"/>
        <v>44103</v>
      </c>
      <c r="I48" s="90">
        <f t="shared" si="13"/>
        <v>44469</v>
      </c>
      <c r="J48" s="90">
        <f t="shared" si="13"/>
        <v>44834</v>
      </c>
      <c r="K48" s="90">
        <f t="shared" si="13"/>
        <v>45199</v>
      </c>
      <c r="L48" s="90">
        <f t="shared" si="13"/>
        <v>45565</v>
      </c>
      <c r="M48" s="90">
        <f t="shared" si="13"/>
        <v>45930</v>
      </c>
    </row>
    <row r="49" spans="1:15" x14ac:dyDescent="0.25">
      <c r="A49" s="52"/>
      <c r="B49" s="51" t="s">
        <v>77</v>
      </c>
      <c r="C49" s="52"/>
      <c r="D49" s="34"/>
      <c r="E49" s="34"/>
      <c r="F49" s="34"/>
      <c r="G49" s="34"/>
      <c r="H49" s="34"/>
      <c r="I49" s="91"/>
      <c r="J49" s="91"/>
      <c r="K49" s="91"/>
      <c r="L49" s="91"/>
      <c r="M49" s="91"/>
    </row>
    <row r="50" spans="1:15" x14ac:dyDescent="0.25">
      <c r="A50" s="47"/>
      <c r="B50" s="47" t="s">
        <v>75</v>
      </c>
      <c r="C50" s="47" t="s">
        <v>64</v>
      </c>
      <c r="D50" s="40">
        <v>558.1</v>
      </c>
      <c r="E50" s="40">
        <v>586.524</v>
      </c>
      <c r="F50" s="40">
        <v>588.14700000000005</v>
      </c>
      <c r="G50" s="40">
        <v>689.12</v>
      </c>
      <c r="H50" s="40">
        <v>726</v>
      </c>
      <c r="I50" s="93">
        <f>I62*I56/1000000</f>
        <v>747.78</v>
      </c>
      <c r="J50" s="93">
        <f>J62*J56/1000000</f>
        <v>770.21339999999998</v>
      </c>
      <c r="K50" s="93">
        <f>K62*K56/1000000</f>
        <v>793.3198020000001</v>
      </c>
      <c r="L50" s="93">
        <f>L62*L56/1000000</f>
        <v>817.11939606000021</v>
      </c>
      <c r="M50" s="93">
        <f>M62*M56/1000000</f>
        <v>841.63297794180028</v>
      </c>
    </row>
    <row r="51" spans="1:15" x14ac:dyDescent="0.25">
      <c r="A51" s="47"/>
      <c r="B51" s="47" t="s">
        <v>76</v>
      </c>
      <c r="C51" s="47" t="s">
        <v>64</v>
      </c>
      <c r="D51" s="40">
        <v>190.4</v>
      </c>
      <c r="E51" s="40">
        <v>206.07600000000002</v>
      </c>
      <c r="F51" s="40">
        <v>212.05300000000003</v>
      </c>
      <c r="G51" s="40">
        <v>254.88000000000002</v>
      </c>
      <c r="H51" s="40">
        <v>274</v>
      </c>
      <c r="I51" s="93">
        <f>I64*I58/1000000</f>
        <v>276.74</v>
      </c>
      <c r="J51" s="93">
        <f>J64*J58/1000000</f>
        <v>279.50740000000008</v>
      </c>
      <c r="K51" s="93">
        <f>K64*K58/1000000</f>
        <v>282.30247400000002</v>
      </c>
      <c r="L51" s="93">
        <f>L64*L58/1000000</f>
        <v>285.12549874000001</v>
      </c>
      <c r="M51" s="93">
        <f>M64*M58/1000000</f>
        <v>287.97675372740002</v>
      </c>
    </row>
    <row r="52" spans="1:15" x14ac:dyDescent="0.25">
      <c r="A52" s="47"/>
      <c r="B52" s="50" t="s">
        <v>94</v>
      </c>
      <c r="C52" s="47" t="s">
        <v>64</v>
      </c>
      <c r="D52" s="78">
        <f t="shared" ref="D52:M52" si="14">SUM(D50:D51)</f>
        <v>748.5</v>
      </c>
      <c r="E52" s="78">
        <f t="shared" si="14"/>
        <v>792.6</v>
      </c>
      <c r="F52" s="78">
        <f t="shared" si="14"/>
        <v>800.2</v>
      </c>
      <c r="G52" s="78">
        <f t="shared" si="14"/>
        <v>944</v>
      </c>
      <c r="H52" s="78">
        <f t="shared" si="14"/>
        <v>1000</v>
      </c>
      <c r="I52" s="94">
        <f t="shared" si="14"/>
        <v>1024.52</v>
      </c>
      <c r="J52" s="94">
        <f t="shared" si="14"/>
        <v>1049.7208000000001</v>
      </c>
      <c r="K52" s="94">
        <f t="shared" si="14"/>
        <v>1075.6222760000001</v>
      </c>
      <c r="L52" s="94">
        <f t="shared" si="14"/>
        <v>1102.2448948000001</v>
      </c>
      <c r="M52" s="94">
        <f t="shared" si="14"/>
        <v>1129.6097316692003</v>
      </c>
    </row>
    <row r="53" spans="1:15" x14ac:dyDescent="0.25">
      <c r="A53" s="47"/>
      <c r="B53" s="47" t="s">
        <v>91</v>
      </c>
      <c r="C53" s="47" t="s">
        <v>92</v>
      </c>
      <c r="D53" s="79" t="s">
        <v>93</v>
      </c>
      <c r="E53" s="31">
        <f t="shared" ref="E53:M53" si="15">E52/D52-1</f>
        <v>5.8917835671342678E-2</v>
      </c>
      <c r="F53" s="31">
        <f t="shared" si="15"/>
        <v>9.5886954327530916E-3</v>
      </c>
      <c r="G53" s="31">
        <f t="shared" si="15"/>
        <v>0.17970507373156708</v>
      </c>
      <c r="H53" s="31">
        <f t="shared" si="15"/>
        <v>5.9322033898305149E-2</v>
      </c>
      <c r="I53" s="102">
        <f t="shared" si="15"/>
        <v>2.4519999999999875E-2</v>
      </c>
      <c r="J53" s="102">
        <f t="shared" si="15"/>
        <v>2.4597665248116352E-2</v>
      </c>
      <c r="K53" s="102">
        <f t="shared" si="15"/>
        <v>2.4674633483493968E-2</v>
      </c>
      <c r="L53" s="102">
        <f t="shared" si="15"/>
        <v>2.4750899450505681E-2</v>
      </c>
      <c r="M53" s="102">
        <f t="shared" si="15"/>
        <v>2.4826458256506978E-2</v>
      </c>
    </row>
    <row r="54" spans="1:15" x14ac:dyDescent="0.25">
      <c r="A54" s="47"/>
      <c r="B54" s="47"/>
      <c r="C54" s="47"/>
      <c r="D54" s="79"/>
      <c r="E54" s="79"/>
      <c r="F54" s="79"/>
      <c r="G54" s="79"/>
      <c r="H54" s="79"/>
      <c r="I54" s="91"/>
      <c r="J54" s="91"/>
      <c r="K54" s="91"/>
      <c r="L54" s="91"/>
      <c r="M54" s="91"/>
    </row>
    <row r="55" spans="1:15" x14ac:dyDescent="0.25">
      <c r="A55" s="47"/>
      <c r="B55" s="50" t="s">
        <v>56</v>
      </c>
      <c r="C55" s="47"/>
      <c r="D55" s="24"/>
      <c r="E55" s="24"/>
      <c r="F55" s="24"/>
      <c r="G55" s="24"/>
      <c r="H55" s="24"/>
      <c r="I55" s="91"/>
      <c r="J55" s="91"/>
      <c r="K55" s="91"/>
      <c r="L55" s="91"/>
      <c r="M55" s="91"/>
    </row>
    <row r="56" spans="1:15" x14ac:dyDescent="0.25">
      <c r="A56" s="47"/>
      <c r="B56" s="47" t="s">
        <v>75</v>
      </c>
      <c r="C56" s="47" t="s">
        <v>78</v>
      </c>
      <c r="D56" s="80">
        <v>800000</v>
      </c>
      <c r="E56" s="80">
        <v>843000</v>
      </c>
      <c r="F56" s="80">
        <v>845000</v>
      </c>
      <c r="G56" s="80">
        <v>987000</v>
      </c>
      <c r="H56" s="80">
        <v>1041000</v>
      </c>
      <c r="I56" s="103">
        <f>H56*(1+I57)</f>
        <v>1072230</v>
      </c>
      <c r="J56" s="103">
        <f>I56*(1+J57)</f>
        <v>1104396.9000000001</v>
      </c>
      <c r="K56" s="103">
        <f>J56*(1+K57)</f>
        <v>1137528.8070000003</v>
      </c>
      <c r="L56" s="103">
        <f>K56*(1+L57)</f>
        <v>1171654.6712100003</v>
      </c>
      <c r="M56" s="103">
        <f>L56*(1+M57)</f>
        <v>1206804.3113463004</v>
      </c>
    </row>
    <row r="57" spans="1:15" x14ac:dyDescent="0.25">
      <c r="A57" s="47"/>
      <c r="B57" s="47" t="s">
        <v>91</v>
      </c>
      <c r="C57" s="47"/>
      <c r="D57" s="81" t="s">
        <v>93</v>
      </c>
      <c r="E57" s="82">
        <f>E56/D56-1</f>
        <v>5.3749999999999964E-2</v>
      </c>
      <c r="F57" s="82">
        <f>F56/E56-1</f>
        <v>2.3724792408066353E-3</v>
      </c>
      <c r="G57" s="82">
        <f>G56/F56-1</f>
        <v>0.16804733727810661</v>
      </c>
      <c r="H57" s="82">
        <f>H56/G56-1</f>
        <v>5.4711246200607855E-2</v>
      </c>
      <c r="I57" s="170">
        <f>Assumptions!I14</f>
        <v>0.03</v>
      </c>
      <c r="J57" s="170">
        <f>Assumptions!J14</f>
        <v>0.03</v>
      </c>
      <c r="K57" s="170">
        <f>Assumptions!K14</f>
        <v>0.03</v>
      </c>
      <c r="L57" s="170">
        <f>Assumptions!L14</f>
        <v>0.03</v>
      </c>
      <c r="M57" s="170">
        <f>Assumptions!M14</f>
        <v>0.03</v>
      </c>
      <c r="N57" s="22"/>
      <c r="O57" s="22"/>
    </row>
    <row r="58" spans="1:15" x14ac:dyDescent="0.25">
      <c r="A58" s="47"/>
      <c r="B58" s="47" t="s">
        <v>76</v>
      </c>
      <c r="C58" s="47" t="s">
        <v>78</v>
      </c>
      <c r="D58" s="80">
        <v>170000</v>
      </c>
      <c r="E58" s="80">
        <v>181000</v>
      </c>
      <c r="F58" s="80">
        <v>185000</v>
      </c>
      <c r="G58" s="80">
        <v>223000</v>
      </c>
      <c r="H58" s="80">
        <v>237000</v>
      </c>
      <c r="I58" s="169">
        <f>H58*(1+I59)</f>
        <v>239370</v>
      </c>
      <c r="J58" s="169">
        <f>I58*(1+J59)</f>
        <v>241763.7</v>
      </c>
      <c r="K58" s="169">
        <f>J58*(1+K59)</f>
        <v>244181.337</v>
      </c>
      <c r="L58" s="169">
        <f>K58*(1+L59)</f>
        <v>246623.15036999999</v>
      </c>
      <c r="M58" s="169">
        <f>L58*(1+M59)</f>
        <v>249089.38187369998</v>
      </c>
    </row>
    <row r="59" spans="1:15" x14ac:dyDescent="0.25">
      <c r="A59" s="47"/>
      <c r="B59" s="47" t="s">
        <v>91</v>
      </c>
      <c r="C59" s="47" t="s">
        <v>92</v>
      </c>
      <c r="D59" s="24" t="s">
        <v>93</v>
      </c>
      <c r="E59" s="82">
        <f>E58/D58-1</f>
        <v>6.4705882352941169E-2</v>
      </c>
      <c r="F59" s="82">
        <f>F58/E58-1</f>
        <v>2.2099447513812098E-2</v>
      </c>
      <c r="G59" s="82">
        <f>G58/F58-1</f>
        <v>0.20540540540540531</v>
      </c>
      <c r="H59" s="82">
        <f>H58/G58-1</f>
        <v>6.2780269058295923E-2</v>
      </c>
      <c r="I59" s="170">
        <f>Assumptions!I17</f>
        <v>0.01</v>
      </c>
      <c r="J59" s="170">
        <f>Assumptions!J17</f>
        <v>0.01</v>
      </c>
      <c r="K59" s="170">
        <f>Assumptions!K17</f>
        <v>0.01</v>
      </c>
      <c r="L59" s="170">
        <f>Assumptions!L17</f>
        <v>0.01</v>
      </c>
      <c r="M59" s="170">
        <f>Assumptions!M17</f>
        <v>0.01</v>
      </c>
      <c r="N59" s="168"/>
      <c r="O59" s="168"/>
    </row>
    <row r="60" spans="1:15" x14ac:dyDescent="0.25">
      <c r="A60" s="47"/>
      <c r="B60" s="47"/>
      <c r="C60" s="47"/>
      <c r="D60" s="24"/>
      <c r="E60" s="82"/>
      <c r="F60" s="82"/>
      <c r="G60" s="82"/>
      <c r="H60" s="82"/>
      <c r="I60" s="91"/>
      <c r="J60" s="91"/>
      <c r="K60" s="91"/>
      <c r="L60" s="91"/>
      <c r="M60" s="91"/>
    </row>
    <row r="61" spans="1:15" x14ac:dyDescent="0.25">
      <c r="A61" s="47"/>
      <c r="B61" s="50" t="s">
        <v>57</v>
      </c>
      <c r="C61" s="47"/>
      <c r="D61" s="24"/>
      <c r="E61" s="24"/>
      <c r="F61" s="24"/>
      <c r="G61" s="24"/>
      <c r="H61" s="24"/>
      <c r="I61" s="91"/>
      <c r="J61" s="91"/>
      <c r="K61" s="91"/>
      <c r="L61" s="91"/>
      <c r="M61" s="91"/>
    </row>
    <row r="62" spans="1:15" x14ac:dyDescent="0.25">
      <c r="A62" s="47"/>
      <c r="B62" s="47" t="s">
        <v>58</v>
      </c>
      <c r="C62" s="47" t="s">
        <v>79</v>
      </c>
      <c r="D62" s="32">
        <f>D50*1000000/D56</f>
        <v>697.625</v>
      </c>
      <c r="E62" s="32">
        <f>E50*1000000/E56</f>
        <v>695.75800711743773</v>
      </c>
      <c r="F62" s="32">
        <f>F50*1000000/F56</f>
        <v>696.03195266272189</v>
      </c>
      <c r="G62" s="32">
        <f>G50*1000000/G56</f>
        <v>698.19655521783181</v>
      </c>
      <c r="H62" s="32">
        <f>H50*1000000/H56</f>
        <v>697.40634005763684</v>
      </c>
      <c r="I62" s="104">
        <f>H62*(1+I63)</f>
        <v>697.40634005763684</v>
      </c>
      <c r="J62" s="104">
        <f>I62*(1+J63)</f>
        <v>697.40634005763684</v>
      </c>
      <c r="K62" s="104">
        <f>J62*(1+K63)</f>
        <v>697.40634005763684</v>
      </c>
      <c r="L62" s="104">
        <f>K62*(1+L63)</f>
        <v>697.40634005763684</v>
      </c>
      <c r="M62" s="104">
        <f>L62*(1+M63)</f>
        <v>697.40634005763684</v>
      </c>
    </row>
    <row r="63" spans="1:15" x14ac:dyDescent="0.25">
      <c r="A63" s="47"/>
      <c r="B63" s="47" t="s">
        <v>91</v>
      </c>
      <c r="C63" s="47"/>
      <c r="D63" s="81" t="s">
        <v>93</v>
      </c>
      <c r="E63" s="82">
        <f>E62/D62-1</f>
        <v>-2.6762126967385669E-3</v>
      </c>
      <c r="F63" s="82">
        <f>F62/E62-1</f>
        <v>3.9373682010368505E-4</v>
      </c>
      <c r="G63" s="82">
        <f>G62/F62-1</f>
        <v>3.1099183691625232E-3</v>
      </c>
      <c r="H63" s="82">
        <f>H62/G62-1</f>
        <v>-1.1317946991996619E-3</v>
      </c>
      <c r="I63" s="170">
        <f>Assumptions!I15</f>
        <v>0</v>
      </c>
      <c r="J63" s="170">
        <f>Assumptions!J15</f>
        <v>0</v>
      </c>
      <c r="K63" s="170">
        <f>Assumptions!K15</f>
        <v>0</v>
      </c>
      <c r="L63" s="170">
        <f>Assumptions!L15</f>
        <v>0</v>
      </c>
      <c r="M63" s="170">
        <f>Assumptions!M15</f>
        <v>0</v>
      </c>
    </row>
    <row r="64" spans="1:15" x14ac:dyDescent="0.25">
      <c r="A64" s="47"/>
      <c r="B64" s="47" t="s">
        <v>59</v>
      </c>
      <c r="C64" s="47" t="s">
        <v>79</v>
      </c>
      <c r="D64" s="32">
        <f>D51*1000000/D58</f>
        <v>1120</v>
      </c>
      <c r="E64" s="32">
        <f>E51*1000000/E58</f>
        <v>1138.5414364640885</v>
      </c>
      <c r="F64" s="32">
        <f>F51*1000000/F58</f>
        <v>1146.2324324324327</v>
      </c>
      <c r="G64" s="32">
        <f>G51*1000000/G58</f>
        <v>1142.9596412556054</v>
      </c>
      <c r="H64" s="32">
        <f>H51*1000000/H58</f>
        <v>1156.1181434599157</v>
      </c>
      <c r="I64" s="105">
        <f>H64*(1+I65)</f>
        <v>1156.1181434599157</v>
      </c>
      <c r="J64" s="105">
        <f>I64*(1+J65)</f>
        <v>1156.1181434599157</v>
      </c>
      <c r="K64" s="105">
        <f>J64*(1+K65)</f>
        <v>1156.1181434599157</v>
      </c>
      <c r="L64" s="105">
        <f>K64*(1+L65)</f>
        <v>1156.1181434599157</v>
      </c>
      <c r="M64" s="105">
        <f>L64*(1+M65)</f>
        <v>1156.1181434599157</v>
      </c>
    </row>
    <row r="65" spans="1:15" x14ac:dyDescent="0.25">
      <c r="A65" s="47"/>
      <c r="B65" s="47" t="s">
        <v>91</v>
      </c>
      <c r="C65" s="47"/>
      <c r="D65" s="81" t="s">
        <v>93</v>
      </c>
      <c r="E65" s="82">
        <f>E64/D64-1</f>
        <v>1.6554853985793372E-2</v>
      </c>
      <c r="F65" s="82">
        <f>F64/E64-1</f>
        <v>6.755130487151817E-3</v>
      </c>
      <c r="G65" s="82">
        <f>G64/F64-1</f>
        <v>-2.8552596177042755E-3</v>
      </c>
      <c r="H65" s="82">
        <f>H64/G64-1</f>
        <v>1.1512656903488683E-2</v>
      </c>
      <c r="I65" s="170">
        <f>Assumptions!I18</f>
        <v>0</v>
      </c>
      <c r="J65" s="170">
        <f>Assumptions!J18</f>
        <v>0</v>
      </c>
      <c r="K65" s="170">
        <f>Assumptions!K18</f>
        <v>0</v>
      </c>
      <c r="L65" s="170">
        <f>Assumptions!L18</f>
        <v>0</v>
      </c>
      <c r="M65" s="170">
        <f>Assumptions!M18</f>
        <v>0</v>
      </c>
    </row>
    <row r="66" spans="1:15" x14ac:dyDescent="0.25">
      <c r="A66" s="47"/>
      <c r="B66" s="47"/>
      <c r="C66" s="47"/>
      <c r="D66" s="24"/>
      <c r="E66" s="24"/>
      <c r="F66" s="24"/>
      <c r="G66" s="24"/>
      <c r="H66" s="24"/>
      <c r="I66" s="91"/>
      <c r="J66" s="91"/>
      <c r="K66" s="91"/>
      <c r="L66" s="91"/>
      <c r="M66" s="91"/>
    </row>
    <row r="67" spans="1:15" x14ac:dyDescent="0.25">
      <c r="A67" s="50" t="s">
        <v>9</v>
      </c>
      <c r="B67" s="47"/>
      <c r="C67" s="47"/>
      <c r="D67" s="24"/>
      <c r="E67" s="24"/>
      <c r="F67" s="24"/>
      <c r="G67" s="24"/>
      <c r="H67" s="24"/>
      <c r="I67" s="91"/>
      <c r="J67" s="91"/>
      <c r="K67" s="91"/>
      <c r="L67" s="91"/>
      <c r="M67" s="91"/>
    </row>
    <row r="68" spans="1:15" x14ac:dyDescent="0.25">
      <c r="A68" s="52"/>
      <c r="B68" s="52" t="str">
        <f>B9</f>
        <v>Fiscal year</v>
      </c>
      <c r="C68" s="52"/>
      <c r="D68" s="75">
        <f t="shared" ref="D68:M68" si="16">D9</f>
        <v>2016</v>
      </c>
      <c r="E68" s="75">
        <f t="shared" si="16"/>
        <v>2017</v>
      </c>
      <c r="F68" s="75">
        <f t="shared" si="16"/>
        <v>2018</v>
      </c>
      <c r="G68" s="75">
        <f t="shared" si="16"/>
        <v>2019</v>
      </c>
      <c r="H68" s="75">
        <f t="shared" si="16"/>
        <v>2020</v>
      </c>
      <c r="I68" s="106">
        <f t="shared" si="16"/>
        <v>2021</v>
      </c>
      <c r="J68" s="106">
        <f t="shared" si="16"/>
        <v>2022</v>
      </c>
      <c r="K68" s="106">
        <f t="shared" si="16"/>
        <v>2023</v>
      </c>
      <c r="L68" s="106">
        <f t="shared" si="16"/>
        <v>2024</v>
      </c>
      <c r="M68" s="106">
        <f t="shared" si="16"/>
        <v>2025</v>
      </c>
    </row>
    <row r="69" spans="1:15" x14ac:dyDescent="0.25">
      <c r="A69" s="47"/>
      <c r="B69" s="47" t="str">
        <f>B10</f>
        <v>Fiscal year end date</v>
      </c>
      <c r="C69" s="47" t="str">
        <f>C10</f>
        <v>Units</v>
      </c>
      <c r="D69" s="23">
        <f t="shared" ref="D69:M69" si="17">D10</f>
        <v>42643</v>
      </c>
      <c r="E69" s="23">
        <f t="shared" si="17"/>
        <v>43008</v>
      </c>
      <c r="F69" s="23">
        <f t="shared" si="17"/>
        <v>43373</v>
      </c>
      <c r="G69" s="23">
        <f t="shared" si="17"/>
        <v>43738</v>
      </c>
      <c r="H69" s="23">
        <f t="shared" si="17"/>
        <v>44103</v>
      </c>
      <c r="I69" s="107">
        <f t="shared" si="17"/>
        <v>44469</v>
      </c>
      <c r="J69" s="107">
        <f t="shared" si="17"/>
        <v>44834</v>
      </c>
      <c r="K69" s="107">
        <f t="shared" si="17"/>
        <v>45199</v>
      </c>
      <c r="L69" s="107">
        <f t="shared" si="17"/>
        <v>45565</v>
      </c>
      <c r="M69" s="107">
        <f t="shared" si="17"/>
        <v>45930</v>
      </c>
    </row>
    <row r="70" spans="1:15" x14ac:dyDescent="0.25">
      <c r="A70" s="47"/>
      <c r="B70" s="51" t="s">
        <v>10</v>
      </c>
      <c r="C70" s="52"/>
      <c r="D70" s="41"/>
      <c r="E70" s="41"/>
      <c r="F70" s="41"/>
      <c r="G70" s="41"/>
      <c r="H70" s="41"/>
      <c r="I70" s="108"/>
      <c r="J70" s="108"/>
      <c r="K70" s="108"/>
      <c r="L70" s="108"/>
      <c r="M70" s="108"/>
    </row>
    <row r="71" spans="1:15" x14ac:dyDescent="0.25">
      <c r="A71" s="47"/>
      <c r="B71" s="47" t="s">
        <v>189</v>
      </c>
      <c r="C71" s="47" t="s">
        <v>64</v>
      </c>
      <c r="D71" s="26">
        <f>D106</f>
        <v>112.27499999999999</v>
      </c>
      <c r="E71" s="26">
        <f t="shared" ref="E71:M71" si="18">E106</f>
        <v>118.47499999999999</v>
      </c>
      <c r="F71" s="26">
        <f t="shared" si="18"/>
        <v>119.57499999999999</v>
      </c>
      <c r="G71" s="26">
        <f t="shared" si="18"/>
        <v>139.57499999999999</v>
      </c>
      <c r="H71" s="26">
        <f t="shared" si="18"/>
        <v>148.57499999999999</v>
      </c>
      <c r="I71" s="93">
        <f t="shared" si="18"/>
        <v>122.94239999999999</v>
      </c>
      <c r="J71" s="93">
        <f t="shared" si="18"/>
        <v>125.96649600000001</v>
      </c>
      <c r="K71" s="93">
        <f t="shared" si="18"/>
        <v>129.07467312</v>
      </c>
      <c r="L71" s="93">
        <f t="shared" si="18"/>
        <v>132.269387376</v>
      </c>
      <c r="M71" s="93">
        <f t="shared" si="18"/>
        <v>135.55316780030404</v>
      </c>
    </row>
    <row r="72" spans="1:15" s="22" customFormat="1" x14ac:dyDescent="0.25">
      <c r="A72" s="47"/>
      <c r="B72" s="47" t="s">
        <v>206</v>
      </c>
      <c r="C72" s="47" t="s">
        <v>64</v>
      </c>
      <c r="D72" s="41">
        <v>16.825000000000003</v>
      </c>
      <c r="E72" s="41">
        <v>31.325000000000017</v>
      </c>
      <c r="F72" s="41">
        <v>23.525000000000006</v>
      </c>
      <c r="G72" s="41">
        <v>20.825000000000017</v>
      </c>
      <c r="H72" s="41">
        <v>21.425000000000011</v>
      </c>
      <c r="I72" s="93">
        <f>I246</f>
        <v>9.2370555648813024E-14</v>
      </c>
      <c r="J72" s="93">
        <f>J246</f>
        <v>9.2370555648813024E-14</v>
      </c>
      <c r="K72" s="93">
        <f>K246</f>
        <v>-1.0658141036401503E-13</v>
      </c>
      <c r="L72" s="93">
        <f>L246</f>
        <v>7.1054273576010019E-15</v>
      </c>
      <c r="M72" s="93">
        <f>M246</f>
        <v>11.389628926682583</v>
      </c>
    </row>
    <row r="73" spans="1:15" x14ac:dyDescent="0.25">
      <c r="A73" s="47"/>
      <c r="B73" s="47" t="s">
        <v>62</v>
      </c>
      <c r="C73" s="47" t="s">
        <v>64</v>
      </c>
      <c r="D73" s="41">
        <v>169.1</v>
      </c>
      <c r="E73" s="41">
        <v>189.1</v>
      </c>
      <c r="F73" s="41">
        <v>166.1</v>
      </c>
      <c r="G73" s="41">
        <v>177.5</v>
      </c>
      <c r="H73" s="41">
        <v>208.1</v>
      </c>
      <c r="I73" s="93">
        <f>I113</f>
        <v>168.41424657534245</v>
      </c>
      <c r="J73" s="93">
        <f>J113</f>
        <v>172.55684383561643</v>
      </c>
      <c r="K73" s="93">
        <f>K113</f>
        <v>176.81462071232878</v>
      </c>
      <c r="L73" s="93">
        <f>L113</f>
        <v>181.1909416109589</v>
      </c>
      <c r="M73" s="93">
        <f>M113</f>
        <v>185.6892709593206</v>
      </c>
    </row>
    <row r="74" spans="1:15" x14ac:dyDescent="0.25">
      <c r="A74" s="47"/>
      <c r="B74" s="47" t="s">
        <v>11</v>
      </c>
      <c r="C74" s="47" t="s">
        <v>64</v>
      </c>
      <c r="D74" s="41">
        <v>127.3</v>
      </c>
      <c r="E74" s="41">
        <v>132</v>
      </c>
      <c r="F74" s="41">
        <v>128</v>
      </c>
      <c r="G74" s="41">
        <v>142.80000000000001</v>
      </c>
      <c r="H74" s="41">
        <v>148.19999999999999</v>
      </c>
      <c r="I74" s="93">
        <f>I121</f>
        <v>159.92507317073174</v>
      </c>
      <c r="J74" s="93">
        <f>J121</f>
        <v>163.85885658536588</v>
      </c>
      <c r="K74" s="93">
        <f>K121</f>
        <v>167.90201381463416</v>
      </c>
      <c r="L74" s="93">
        <f>L121</f>
        <v>172.05773967609758</v>
      </c>
      <c r="M74" s="93">
        <f>M121</f>
        <v>176.32932396787518</v>
      </c>
    </row>
    <row r="75" spans="1:15" x14ac:dyDescent="0.25">
      <c r="A75" s="47"/>
      <c r="B75" s="47" t="s">
        <v>12</v>
      </c>
      <c r="C75" s="47" t="s">
        <v>64</v>
      </c>
      <c r="D75" s="41">
        <v>119</v>
      </c>
      <c r="E75" s="41">
        <v>117.6</v>
      </c>
      <c r="F75" s="41">
        <v>119.1</v>
      </c>
      <c r="G75" s="41">
        <v>189.5</v>
      </c>
      <c r="H75" s="41">
        <v>183.7</v>
      </c>
      <c r="I75" s="93">
        <f>I137</f>
        <v>194.65879999999999</v>
      </c>
      <c r="J75" s="93">
        <f>J137</f>
        <v>199.44695200000001</v>
      </c>
      <c r="K75" s="93">
        <f>K137</f>
        <v>204.36823244000001</v>
      </c>
      <c r="L75" s="93">
        <f>L137</f>
        <v>209.42653001200003</v>
      </c>
      <c r="M75" s="93">
        <f>M137</f>
        <v>214.62584901714806</v>
      </c>
    </row>
    <row r="76" spans="1:15" x14ac:dyDescent="0.25">
      <c r="A76" s="47"/>
      <c r="B76" s="50" t="s">
        <v>83</v>
      </c>
      <c r="C76" s="47" t="s">
        <v>64</v>
      </c>
      <c r="D76" s="27">
        <f>SUM(D70:D75)</f>
        <v>544.5</v>
      </c>
      <c r="E76" s="27">
        <f>SUM(E70:E75)</f>
        <v>588.5</v>
      </c>
      <c r="F76" s="27">
        <f>SUM(F70:F75)</f>
        <v>556.29999999999995</v>
      </c>
      <c r="G76" s="27">
        <f>SUM(G70:G75)</f>
        <v>670.2</v>
      </c>
      <c r="H76" s="27">
        <f>SUM(H70:H75)</f>
        <v>710</v>
      </c>
      <c r="I76" s="94">
        <f>SUM(I71:I75)</f>
        <v>645.94051974607419</v>
      </c>
      <c r="J76" s="94">
        <f>SUM(J71:J75)</f>
        <v>661.82914842098239</v>
      </c>
      <c r="K76" s="94">
        <f>SUM(K71:K75)</f>
        <v>678.15954008696292</v>
      </c>
      <c r="L76" s="94">
        <f>SUM(L71:L75)</f>
        <v>694.94459867505645</v>
      </c>
      <c r="M76" s="94">
        <f>SUM(M71:M75)</f>
        <v>723.58724067133051</v>
      </c>
    </row>
    <row r="77" spans="1:15" x14ac:dyDescent="0.25">
      <c r="A77" s="47"/>
      <c r="B77" s="47" t="s">
        <v>13</v>
      </c>
      <c r="C77" s="47" t="s">
        <v>64</v>
      </c>
      <c r="D77" s="41">
        <v>1142.5999999999999</v>
      </c>
      <c r="E77" s="41">
        <v>1200.5999999999999</v>
      </c>
      <c r="F77" s="41">
        <v>1238.3</v>
      </c>
      <c r="G77" s="41">
        <v>1356.7</v>
      </c>
      <c r="H77" s="41">
        <v>1517.8</v>
      </c>
      <c r="I77" s="93">
        <f t="shared" ref="I77:M79" si="19">I155</f>
        <v>1599.7616</v>
      </c>
      <c r="J77" s="93">
        <f t="shared" si="19"/>
        <v>1683.739264</v>
      </c>
      <c r="K77" s="93">
        <f t="shared" si="19"/>
        <v>1769.7890460799999</v>
      </c>
      <c r="L77" s="93">
        <f t="shared" si="19"/>
        <v>1857.968637664</v>
      </c>
      <c r="M77" s="93">
        <f t="shared" si="19"/>
        <v>1948.337416197536</v>
      </c>
    </row>
    <row r="78" spans="1:15" x14ac:dyDescent="0.25">
      <c r="A78" s="47"/>
      <c r="B78" s="47" t="s">
        <v>14</v>
      </c>
      <c r="C78" s="47" t="s">
        <v>64</v>
      </c>
      <c r="D78" s="41">
        <v>288.39999999999998</v>
      </c>
      <c r="E78" s="26">
        <f>D78+E18</f>
        <v>342</v>
      </c>
      <c r="F78" s="26">
        <f>E78+F18</f>
        <v>396.3</v>
      </c>
      <c r="G78" s="26">
        <f>F78+G18</f>
        <v>446.2</v>
      </c>
      <c r="H78" s="26">
        <f>G78+H18</f>
        <v>500</v>
      </c>
      <c r="I78" s="93">
        <f t="shared" si="19"/>
        <v>555.97900000000004</v>
      </c>
      <c r="J78" s="93">
        <f t="shared" si="19"/>
        <v>613.38704300000006</v>
      </c>
      <c r="K78" s="93">
        <f t="shared" si="19"/>
        <v>672.25641515500001</v>
      </c>
      <c r="L78" s="93">
        <f t="shared" si="19"/>
        <v>732.62070985587502</v>
      </c>
      <c r="M78" s="93">
        <f t="shared" si="19"/>
        <v>794.51484588532185</v>
      </c>
    </row>
    <row r="79" spans="1:15" x14ac:dyDescent="0.25">
      <c r="A79" s="47"/>
      <c r="B79" s="47" t="s">
        <v>84</v>
      </c>
      <c r="C79" s="47" t="s">
        <v>64</v>
      </c>
      <c r="D79" s="26">
        <f>D77-D78</f>
        <v>854.19999999999993</v>
      </c>
      <c r="E79" s="26">
        <f>E77-E78</f>
        <v>858.59999999999991</v>
      </c>
      <c r="F79" s="26">
        <f>F77-F78</f>
        <v>842</v>
      </c>
      <c r="G79" s="26">
        <f>G77-G78</f>
        <v>910.5</v>
      </c>
      <c r="H79" s="26">
        <f>H77-H78</f>
        <v>1017.8</v>
      </c>
      <c r="I79" s="93">
        <f t="shared" si="19"/>
        <v>1043.7826</v>
      </c>
      <c r="J79" s="93">
        <f t="shared" si="19"/>
        <v>1070.3522210000001</v>
      </c>
      <c r="K79" s="93">
        <f t="shared" si="19"/>
        <v>1097.5326309249999</v>
      </c>
      <c r="L79" s="93">
        <f t="shared" si="19"/>
        <v>1125.347927808125</v>
      </c>
      <c r="M79" s="93">
        <f t="shared" si="19"/>
        <v>1153.8225703122141</v>
      </c>
    </row>
    <row r="80" spans="1:15" x14ac:dyDescent="0.25">
      <c r="A80" s="47"/>
      <c r="B80" s="47" t="s">
        <v>160</v>
      </c>
      <c r="C80" s="47" t="s">
        <v>64</v>
      </c>
      <c r="D80" s="41">
        <v>237.7</v>
      </c>
      <c r="E80" s="41">
        <v>280</v>
      </c>
      <c r="F80" s="41">
        <v>342.9</v>
      </c>
      <c r="G80" s="41">
        <v>435.9</v>
      </c>
      <c r="H80" s="41">
        <v>409</v>
      </c>
      <c r="I80" s="93">
        <f>I168</f>
        <v>430.29839999999996</v>
      </c>
      <c r="J80" s="93">
        <f>J168</f>
        <v>440.88273600000002</v>
      </c>
      <c r="K80" s="93">
        <f>K168</f>
        <v>451.76135592000003</v>
      </c>
      <c r="L80" s="93">
        <f>L168</f>
        <v>462.94285581600002</v>
      </c>
      <c r="M80" s="93">
        <f>M168</f>
        <v>474.43608730106411</v>
      </c>
      <c r="O80" s="159"/>
    </row>
    <row r="81" spans="1:15" x14ac:dyDescent="0.25">
      <c r="A81" s="47"/>
      <c r="B81" s="50" t="s">
        <v>85</v>
      </c>
      <c r="C81" s="47" t="s">
        <v>64</v>
      </c>
      <c r="D81" s="27">
        <f>D76+D79+D80</f>
        <v>1636.3999999999999</v>
      </c>
      <c r="E81" s="27">
        <f t="shared" ref="E81:M81" si="20">E76+E79+E80</f>
        <v>1727.1</v>
      </c>
      <c r="F81" s="27">
        <f t="shared" si="20"/>
        <v>1741.1999999999998</v>
      </c>
      <c r="G81" s="27">
        <f t="shared" si="20"/>
        <v>2016.6</v>
      </c>
      <c r="H81" s="27">
        <f t="shared" si="20"/>
        <v>2136.8000000000002</v>
      </c>
      <c r="I81" s="94">
        <f t="shared" si="20"/>
        <v>2120.0215197460743</v>
      </c>
      <c r="J81" s="94">
        <f t="shared" si="20"/>
        <v>2173.0641054209827</v>
      </c>
      <c r="K81" s="94">
        <f t="shared" si="20"/>
        <v>2227.4535269319626</v>
      </c>
      <c r="L81" s="94">
        <f t="shared" si="20"/>
        <v>2283.2353822991818</v>
      </c>
      <c r="M81" s="94">
        <f t="shared" si="20"/>
        <v>2351.8458982846087</v>
      </c>
      <c r="N81" s="155"/>
      <c r="O81" s="160"/>
    </row>
    <row r="82" spans="1:15" x14ac:dyDescent="0.25">
      <c r="A82" s="47"/>
      <c r="B82" s="47"/>
      <c r="C82" s="47"/>
      <c r="D82" s="24"/>
      <c r="E82" s="24"/>
      <c r="F82" s="24"/>
      <c r="G82" s="24"/>
      <c r="H82" s="24"/>
      <c r="I82" s="91"/>
      <c r="J82" s="91"/>
      <c r="K82" s="91"/>
      <c r="L82" s="91"/>
      <c r="M82" s="91"/>
    </row>
    <row r="83" spans="1:15" x14ac:dyDescent="0.25">
      <c r="A83" s="47"/>
      <c r="B83" s="50" t="s">
        <v>51</v>
      </c>
      <c r="C83" s="47"/>
      <c r="D83" s="24"/>
      <c r="E83" s="24"/>
      <c r="F83" s="24"/>
      <c r="G83" s="24"/>
      <c r="H83" s="24"/>
      <c r="I83" s="91"/>
      <c r="J83" s="91"/>
      <c r="K83" s="91"/>
      <c r="L83" s="91"/>
      <c r="M83" s="91"/>
    </row>
    <row r="84" spans="1:15" x14ac:dyDescent="0.25">
      <c r="A84" s="47"/>
      <c r="B84" s="47" t="s">
        <v>15</v>
      </c>
      <c r="C84" s="47" t="s">
        <v>64</v>
      </c>
      <c r="D84" s="41">
        <v>152.9</v>
      </c>
      <c r="E84" s="41">
        <v>173.5</v>
      </c>
      <c r="F84" s="41">
        <v>144.30000000000001</v>
      </c>
      <c r="G84" s="41">
        <v>175.5</v>
      </c>
      <c r="H84" s="41">
        <v>279.10000000000002</v>
      </c>
      <c r="I84" s="93">
        <f>I129</f>
        <v>107.78511780821918</v>
      </c>
      <c r="J84" s="93">
        <f>J129</f>
        <v>110.43638005479453</v>
      </c>
      <c r="K84" s="93">
        <f>K129</f>
        <v>113.16135725589041</v>
      </c>
      <c r="L84" s="93">
        <f>L129</f>
        <v>115.9622026310137</v>
      </c>
      <c r="M84" s="93">
        <f>M129</f>
        <v>118.84113341396517</v>
      </c>
    </row>
    <row r="85" spans="1:15" x14ac:dyDescent="0.25">
      <c r="A85" s="47"/>
      <c r="B85" s="47" t="s">
        <v>156</v>
      </c>
      <c r="C85" s="47" t="s">
        <v>64</v>
      </c>
      <c r="D85" s="41">
        <v>135.69999999999999</v>
      </c>
      <c r="E85" s="41">
        <v>148.79999999999995</v>
      </c>
      <c r="F85" s="41">
        <v>163.59999999999974</v>
      </c>
      <c r="G85" s="41">
        <v>418.79999999999961</v>
      </c>
      <c r="H85" s="41">
        <v>346.50000000000006</v>
      </c>
      <c r="I85" s="93">
        <f>I144</f>
        <v>348.33680000000004</v>
      </c>
      <c r="J85" s="93">
        <f>J144</f>
        <v>356.90507200000002</v>
      </c>
      <c r="K85" s="93">
        <f>K144</f>
        <v>365.71157384000003</v>
      </c>
      <c r="L85" s="93">
        <f>L144</f>
        <v>374.76326423200004</v>
      </c>
      <c r="M85" s="93">
        <f>M144</f>
        <v>384.06730876752812</v>
      </c>
    </row>
    <row r="86" spans="1:15" x14ac:dyDescent="0.25">
      <c r="A86" s="47"/>
      <c r="B86" s="47" t="s">
        <v>173</v>
      </c>
      <c r="C86" s="47" t="s">
        <v>64</v>
      </c>
      <c r="D86" s="41">
        <v>8.6999999999999993</v>
      </c>
      <c r="E86" s="41">
        <v>30.8</v>
      </c>
      <c r="F86" s="41">
        <v>47.400000000000006</v>
      </c>
      <c r="G86" s="41">
        <v>6.9</v>
      </c>
      <c r="H86" s="41">
        <v>7</v>
      </c>
      <c r="I86" s="95">
        <f>I297</f>
        <v>106.50487033785512</v>
      </c>
      <c r="J86" s="95">
        <f>J297</f>
        <v>78.120922022187955</v>
      </c>
      <c r="K86" s="95">
        <f>K297</f>
        <v>49.018852852392477</v>
      </c>
      <c r="L86" s="95">
        <f>L297</f>
        <v>19.186341972423847</v>
      </c>
      <c r="M86" s="95">
        <f>M297</f>
        <v>0</v>
      </c>
    </row>
    <row r="87" spans="1:15" x14ac:dyDescent="0.25">
      <c r="A87" s="47"/>
      <c r="B87" s="50" t="s">
        <v>86</v>
      </c>
      <c r="C87" s="47" t="s">
        <v>64</v>
      </c>
      <c r="D87" s="27">
        <f t="shared" ref="D87:M87" si="21">SUM(D84:D86)</f>
        <v>297.3</v>
      </c>
      <c r="E87" s="27">
        <f t="shared" si="21"/>
        <v>353.09999999999997</v>
      </c>
      <c r="F87" s="27">
        <f t="shared" si="21"/>
        <v>355.29999999999973</v>
      </c>
      <c r="G87" s="27">
        <f t="shared" si="21"/>
        <v>601.19999999999959</v>
      </c>
      <c r="H87" s="27">
        <f t="shared" si="21"/>
        <v>632.60000000000014</v>
      </c>
      <c r="I87" s="94">
        <f t="shared" si="21"/>
        <v>562.62678814607432</v>
      </c>
      <c r="J87" s="94">
        <f t="shared" si="21"/>
        <v>545.46237407698254</v>
      </c>
      <c r="K87" s="94">
        <f t="shared" si="21"/>
        <v>527.89178394828286</v>
      </c>
      <c r="L87" s="94">
        <f t="shared" si="21"/>
        <v>509.91180883543757</v>
      </c>
      <c r="M87" s="94">
        <f t="shared" si="21"/>
        <v>502.90844218149329</v>
      </c>
    </row>
    <row r="88" spans="1:15" x14ac:dyDescent="0.25">
      <c r="A88" s="47"/>
      <c r="B88" s="47" t="s">
        <v>16</v>
      </c>
      <c r="C88" s="47" t="s">
        <v>64</v>
      </c>
      <c r="D88" s="41">
        <v>31.4</v>
      </c>
      <c r="E88" s="41">
        <v>26.7</v>
      </c>
      <c r="F88" s="41">
        <v>21.8</v>
      </c>
      <c r="G88" s="41">
        <v>35.6</v>
      </c>
      <c r="H88" s="41">
        <v>73.3</v>
      </c>
      <c r="I88" s="93">
        <f>I179</f>
        <v>73.3</v>
      </c>
      <c r="J88" s="93">
        <f>J179</f>
        <v>73.3</v>
      </c>
      <c r="K88" s="93">
        <f>K179</f>
        <v>73.3</v>
      </c>
      <c r="L88" s="93">
        <f>L179</f>
        <v>73.3</v>
      </c>
      <c r="M88" s="93">
        <f>M179</f>
        <v>73.3</v>
      </c>
    </row>
    <row r="89" spans="1:15" x14ac:dyDescent="0.25">
      <c r="A89" s="47"/>
      <c r="B89" s="47" t="s">
        <v>17</v>
      </c>
      <c r="C89" s="47" t="s">
        <v>64</v>
      </c>
      <c r="D89" s="41">
        <v>42.6</v>
      </c>
      <c r="E89" s="41">
        <v>33.299999999999997</v>
      </c>
      <c r="F89" s="41">
        <v>21.5</v>
      </c>
      <c r="G89" s="41">
        <v>0</v>
      </c>
      <c r="H89" s="41">
        <v>0</v>
      </c>
      <c r="I89" s="93">
        <f>I187</f>
        <v>0</v>
      </c>
      <c r="J89" s="93">
        <f>J187</f>
        <v>0</v>
      </c>
      <c r="K89" s="93">
        <f>K187</f>
        <v>0</v>
      </c>
      <c r="L89" s="93">
        <f>L187</f>
        <v>0</v>
      </c>
      <c r="M89" s="93">
        <f>M187</f>
        <v>0</v>
      </c>
    </row>
    <row r="90" spans="1:15" x14ac:dyDescent="0.25">
      <c r="A90" s="47"/>
      <c r="B90" s="50" t="s">
        <v>87</v>
      </c>
      <c r="C90" s="47" t="s">
        <v>64</v>
      </c>
      <c r="D90" s="27">
        <f t="shared" ref="D90:M90" si="22">SUM(D87:D89)</f>
        <v>371.3</v>
      </c>
      <c r="E90" s="27">
        <f t="shared" si="22"/>
        <v>413.09999999999997</v>
      </c>
      <c r="F90" s="27">
        <f t="shared" si="22"/>
        <v>398.59999999999974</v>
      </c>
      <c r="G90" s="27">
        <f t="shared" si="22"/>
        <v>636.79999999999961</v>
      </c>
      <c r="H90" s="27">
        <f t="shared" si="22"/>
        <v>705.90000000000009</v>
      </c>
      <c r="I90" s="94">
        <f t="shared" si="22"/>
        <v>635.92678814607427</v>
      </c>
      <c r="J90" s="94">
        <f t="shared" si="22"/>
        <v>618.7623740769825</v>
      </c>
      <c r="K90" s="94">
        <f t="shared" si="22"/>
        <v>601.19178394828282</v>
      </c>
      <c r="L90" s="94">
        <f t="shared" si="22"/>
        <v>583.21180883543752</v>
      </c>
      <c r="M90" s="94">
        <f t="shared" si="22"/>
        <v>576.2084421814933</v>
      </c>
    </row>
    <row r="91" spans="1:15" x14ac:dyDescent="0.25">
      <c r="A91" s="47"/>
      <c r="B91" s="47" t="s">
        <v>90</v>
      </c>
      <c r="C91" s="47" t="s">
        <v>64</v>
      </c>
      <c r="D91" s="41">
        <v>100</v>
      </c>
      <c r="E91" s="41">
        <v>100</v>
      </c>
      <c r="F91" s="41">
        <v>100</v>
      </c>
      <c r="G91" s="41">
        <v>100</v>
      </c>
      <c r="H91" s="41">
        <v>100</v>
      </c>
      <c r="I91" s="93">
        <f>I196</f>
        <v>100</v>
      </c>
      <c r="J91" s="93">
        <f>J196</f>
        <v>100</v>
      </c>
      <c r="K91" s="93">
        <f>K196</f>
        <v>100</v>
      </c>
      <c r="L91" s="93">
        <f>L196</f>
        <v>100</v>
      </c>
      <c r="M91" s="93">
        <f>M196</f>
        <v>100</v>
      </c>
    </row>
    <row r="92" spans="1:15" x14ac:dyDescent="0.25">
      <c r="A92" s="47"/>
      <c r="B92" s="47" t="s">
        <v>8</v>
      </c>
      <c r="C92" s="47" t="s">
        <v>64</v>
      </c>
      <c r="D92" s="41">
        <v>1165.0999999999999</v>
      </c>
      <c r="E92" s="26">
        <f>D92+E28</f>
        <v>1214</v>
      </c>
      <c r="F92" s="26">
        <f>E92+F28</f>
        <v>1242.6000000000001</v>
      </c>
      <c r="G92" s="26">
        <f>F92+G28</f>
        <v>1279.8000000000002</v>
      </c>
      <c r="H92" s="26">
        <f>G92+H28</f>
        <v>1330.9</v>
      </c>
      <c r="I92" s="93">
        <f>I202</f>
        <v>1384.0947316000002</v>
      </c>
      <c r="J92" s="93">
        <f>J202</f>
        <v>1454.301731344</v>
      </c>
      <c r="K92" s="93">
        <f>K202</f>
        <v>1526.2617429836801</v>
      </c>
      <c r="L92" s="93">
        <f>L202</f>
        <v>1600.023573463744</v>
      </c>
      <c r="M92" s="93">
        <f>M202</f>
        <v>1675.6374561031155</v>
      </c>
    </row>
    <row r="93" spans="1:15" x14ac:dyDescent="0.25">
      <c r="A93" s="47"/>
      <c r="B93" s="50" t="s">
        <v>88</v>
      </c>
      <c r="C93" s="47" t="s">
        <v>64</v>
      </c>
      <c r="D93" s="26">
        <f t="shared" ref="D93:M93" si="23">SUM(D91:D92)</f>
        <v>1265.0999999999999</v>
      </c>
      <c r="E93" s="26">
        <f t="shared" si="23"/>
        <v>1314</v>
      </c>
      <c r="F93" s="26">
        <f t="shared" si="23"/>
        <v>1342.6000000000001</v>
      </c>
      <c r="G93" s="26">
        <f t="shared" si="23"/>
        <v>1379.8000000000002</v>
      </c>
      <c r="H93" s="26">
        <f t="shared" si="23"/>
        <v>1430.9</v>
      </c>
      <c r="I93" s="93">
        <f t="shared" si="23"/>
        <v>1484.0947316000002</v>
      </c>
      <c r="J93" s="93">
        <f t="shared" si="23"/>
        <v>1554.301731344</v>
      </c>
      <c r="K93" s="93">
        <f t="shared" si="23"/>
        <v>1626.2617429836801</v>
      </c>
      <c r="L93" s="93">
        <f t="shared" si="23"/>
        <v>1700.023573463744</v>
      </c>
      <c r="M93" s="93">
        <f t="shared" si="23"/>
        <v>1775.6374561031155</v>
      </c>
    </row>
    <row r="94" spans="1:15" x14ac:dyDescent="0.25">
      <c r="A94" s="47"/>
      <c r="B94" s="50" t="s">
        <v>89</v>
      </c>
      <c r="C94" s="47" t="s">
        <v>64</v>
      </c>
      <c r="D94" s="27">
        <f t="shared" ref="D94:M94" si="24">D90+D93</f>
        <v>1636.3999999999999</v>
      </c>
      <c r="E94" s="27">
        <f t="shared" si="24"/>
        <v>1727.1</v>
      </c>
      <c r="F94" s="27">
        <f t="shared" si="24"/>
        <v>1741.1999999999998</v>
      </c>
      <c r="G94" s="27">
        <f t="shared" si="24"/>
        <v>2016.6</v>
      </c>
      <c r="H94" s="27">
        <f t="shared" si="24"/>
        <v>2136.8000000000002</v>
      </c>
      <c r="I94" s="94">
        <f t="shared" si="24"/>
        <v>2120.0215197460743</v>
      </c>
      <c r="J94" s="94">
        <f t="shared" si="24"/>
        <v>2173.0641054209827</v>
      </c>
      <c r="K94" s="94">
        <f t="shared" si="24"/>
        <v>2227.4535269319631</v>
      </c>
      <c r="L94" s="94">
        <f t="shared" si="24"/>
        <v>2283.2353822991818</v>
      </c>
      <c r="M94" s="94">
        <f t="shared" si="24"/>
        <v>2351.8458982846087</v>
      </c>
    </row>
    <row r="95" spans="1:15" x14ac:dyDescent="0.25">
      <c r="A95" s="47"/>
      <c r="B95" s="50"/>
      <c r="C95" s="47"/>
      <c r="D95" s="74"/>
      <c r="E95" s="74"/>
      <c r="F95" s="74"/>
      <c r="G95" s="74"/>
      <c r="H95" s="74"/>
      <c r="I95" s="91"/>
      <c r="J95" s="91"/>
      <c r="K95" s="91"/>
      <c r="L95" s="91"/>
      <c r="M95" s="91"/>
    </row>
    <row r="96" spans="1:15" s="2" customFormat="1" x14ac:dyDescent="0.25">
      <c r="A96" s="50"/>
      <c r="B96" s="55" t="s">
        <v>95</v>
      </c>
      <c r="C96" s="55"/>
      <c r="D96" s="35">
        <f t="shared" ref="D96:M96" si="25">D81-D94</f>
        <v>0</v>
      </c>
      <c r="E96" s="35">
        <f t="shared" si="25"/>
        <v>0</v>
      </c>
      <c r="F96" s="35">
        <f t="shared" si="25"/>
        <v>0</v>
      </c>
      <c r="G96" s="35">
        <f t="shared" si="25"/>
        <v>0</v>
      </c>
      <c r="H96" s="35">
        <f t="shared" si="25"/>
        <v>0</v>
      </c>
      <c r="I96" s="109">
        <f t="shared" si="25"/>
        <v>0</v>
      </c>
      <c r="J96" s="109">
        <f t="shared" si="25"/>
        <v>0</v>
      </c>
      <c r="K96" s="109">
        <f t="shared" si="25"/>
        <v>0</v>
      </c>
      <c r="L96" s="109">
        <f t="shared" si="25"/>
        <v>0</v>
      </c>
      <c r="M96" s="109">
        <f t="shared" si="25"/>
        <v>0</v>
      </c>
    </row>
    <row r="97" spans="1:13" x14ac:dyDescent="0.25">
      <c r="A97" s="47"/>
      <c r="B97" s="47"/>
      <c r="C97" s="47"/>
      <c r="D97" s="24"/>
      <c r="E97" s="24"/>
      <c r="F97" s="24"/>
      <c r="G97" s="24"/>
      <c r="H97" s="24"/>
      <c r="I97" s="91"/>
      <c r="J97" s="91"/>
      <c r="K97" s="91"/>
      <c r="L97" s="91"/>
      <c r="M97" s="91"/>
    </row>
    <row r="98" spans="1:13" x14ac:dyDescent="0.25">
      <c r="A98" s="50" t="s">
        <v>152</v>
      </c>
      <c r="B98" s="47"/>
      <c r="C98" s="47"/>
      <c r="D98" s="83"/>
      <c r="E98" s="83"/>
      <c r="F98" s="83"/>
      <c r="G98" s="83"/>
      <c r="H98" s="83"/>
      <c r="I98" s="91"/>
      <c r="J98" s="91"/>
      <c r="K98" s="91"/>
      <c r="L98" s="91"/>
      <c r="M98" s="91"/>
    </row>
    <row r="99" spans="1:13" x14ac:dyDescent="0.25">
      <c r="A99" s="52"/>
      <c r="B99" s="52" t="str">
        <f>B9</f>
        <v>Fiscal year</v>
      </c>
      <c r="C99" s="52"/>
      <c r="D99" s="75">
        <f t="shared" ref="D99:M99" si="26">D9</f>
        <v>2016</v>
      </c>
      <c r="E99" s="75">
        <f t="shared" si="26"/>
        <v>2017</v>
      </c>
      <c r="F99" s="75">
        <f t="shared" si="26"/>
        <v>2018</v>
      </c>
      <c r="G99" s="75">
        <f t="shared" si="26"/>
        <v>2019</v>
      </c>
      <c r="H99" s="75">
        <f t="shared" si="26"/>
        <v>2020</v>
      </c>
      <c r="I99" s="106">
        <f t="shared" si="26"/>
        <v>2021</v>
      </c>
      <c r="J99" s="106">
        <f t="shared" si="26"/>
        <v>2022</v>
      </c>
      <c r="K99" s="106">
        <f t="shared" si="26"/>
        <v>2023</v>
      </c>
      <c r="L99" s="106">
        <f t="shared" si="26"/>
        <v>2024</v>
      </c>
      <c r="M99" s="106">
        <f t="shared" si="26"/>
        <v>2025</v>
      </c>
    </row>
    <row r="100" spans="1:13" x14ac:dyDescent="0.25">
      <c r="A100" s="56"/>
      <c r="B100" s="56" t="str">
        <f>B10</f>
        <v>Fiscal year end date</v>
      </c>
      <c r="C100" s="56" t="str">
        <f>C10</f>
        <v>Units</v>
      </c>
      <c r="D100" s="23">
        <f t="shared" ref="D100:M100" si="27">D10</f>
        <v>42643</v>
      </c>
      <c r="E100" s="23">
        <f t="shared" si="27"/>
        <v>43008</v>
      </c>
      <c r="F100" s="23">
        <f t="shared" si="27"/>
        <v>43373</v>
      </c>
      <c r="G100" s="23">
        <f t="shared" si="27"/>
        <v>43738</v>
      </c>
      <c r="H100" s="23">
        <f t="shared" si="27"/>
        <v>44103</v>
      </c>
      <c r="I100" s="90">
        <f t="shared" si="27"/>
        <v>44469</v>
      </c>
      <c r="J100" s="90">
        <f t="shared" si="27"/>
        <v>44834</v>
      </c>
      <c r="K100" s="90">
        <f t="shared" si="27"/>
        <v>45199</v>
      </c>
      <c r="L100" s="90">
        <f t="shared" si="27"/>
        <v>45565</v>
      </c>
      <c r="M100" s="90">
        <f t="shared" si="27"/>
        <v>45930</v>
      </c>
    </row>
    <row r="101" spans="1:13" x14ac:dyDescent="0.25">
      <c r="A101" s="50" t="s">
        <v>154</v>
      </c>
      <c r="B101" s="53"/>
      <c r="C101" s="54"/>
      <c r="D101" s="84"/>
      <c r="E101" s="84"/>
      <c r="F101" s="84"/>
      <c r="G101" s="84"/>
      <c r="H101" s="84"/>
      <c r="I101" s="91"/>
      <c r="J101" s="91"/>
      <c r="K101" s="91"/>
      <c r="L101" s="91"/>
      <c r="M101" s="91"/>
    </row>
    <row r="102" spans="1:13" s="22" customFormat="1" x14ac:dyDescent="0.25">
      <c r="A102" s="50"/>
      <c r="B102" s="53"/>
      <c r="C102" s="54"/>
      <c r="D102" s="84"/>
      <c r="E102" s="84"/>
      <c r="F102" s="84"/>
      <c r="G102" s="84"/>
      <c r="H102" s="84"/>
      <c r="I102" s="91"/>
      <c r="J102" s="91"/>
      <c r="K102" s="91"/>
      <c r="L102" s="91"/>
      <c r="M102" s="91"/>
    </row>
    <row r="103" spans="1:13" s="22" customFormat="1" x14ac:dyDescent="0.25">
      <c r="A103" s="50"/>
      <c r="B103" s="53" t="s">
        <v>186</v>
      </c>
      <c r="C103" s="54"/>
      <c r="D103" s="84"/>
      <c r="E103" s="84"/>
      <c r="F103" s="84"/>
      <c r="G103" s="84"/>
      <c r="H103" s="84"/>
      <c r="I103" s="91"/>
      <c r="J103" s="91"/>
      <c r="K103" s="91"/>
      <c r="L103" s="91"/>
      <c r="M103" s="91"/>
    </row>
    <row r="104" spans="1:13" s="22" customFormat="1" x14ac:dyDescent="0.25">
      <c r="A104" s="50"/>
      <c r="B104" s="57" t="s">
        <v>136</v>
      </c>
      <c r="C104" s="54"/>
      <c r="D104" s="36"/>
      <c r="E104" s="36">
        <f t="shared" ref="E104:M104" si="28">D106</f>
        <v>112.27499999999999</v>
      </c>
      <c r="F104" s="36">
        <f t="shared" si="28"/>
        <v>118.47499999999999</v>
      </c>
      <c r="G104" s="36">
        <f t="shared" si="28"/>
        <v>119.57499999999999</v>
      </c>
      <c r="H104" s="36">
        <f t="shared" si="28"/>
        <v>139.57499999999999</v>
      </c>
      <c r="I104" s="110">
        <f t="shared" si="28"/>
        <v>148.57499999999999</v>
      </c>
      <c r="J104" s="110">
        <f t="shared" si="28"/>
        <v>122.94239999999999</v>
      </c>
      <c r="K104" s="110">
        <f t="shared" si="28"/>
        <v>125.96649600000001</v>
      </c>
      <c r="L104" s="110">
        <f t="shared" si="28"/>
        <v>129.07467312</v>
      </c>
      <c r="M104" s="110">
        <f t="shared" si="28"/>
        <v>132.269387376</v>
      </c>
    </row>
    <row r="105" spans="1:13" s="22" customFormat="1" x14ac:dyDescent="0.25">
      <c r="A105" s="50"/>
      <c r="B105" s="58" t="s">
        <v>137</v>
      </c>
      <c r="C105" s="54"/>
      <c r="D105" s="36"/>
      <c r="E105" s="36">
        <v>6.2</v>
      </c>
      <c r="F105" s="36">
        <v>1.1000000000000001</v>
      </c>
      <c r="G105" s="36">
        <v>20</v>
      </c>
      <c r="H105" s="36">
        <v>9</v>
      </c>
      <c r="I105" s="93">
        <f>I106-I104</f>
        <v>-25.632599999999996</v>
      </c>
      <c r="J105" s="93">
        <f>J106-J104</f>
        <v>3.0240960000000143</v>
      </c>
      <c r="K105" s="93">
        <f>K106-K104</f>
        <v>3.1081771199999935</v>
      </c>
      <c r="L105" s="93">
        <f>L106-L104</f>
        <v>3.1947142559999975</v>
      </c>
      <c r="M105" s="93">
        <f>M106-M104</f>
        <v>3.2837804243040409</v>
      </c>
    </row>
    <row r="106" spans="1:13" s="22" customFormat="1" x14ac:dyDescent="0.25">
      <c r="A106" s="50"/>
      <c r="B106" s="57" t="s">
        <v>138</v>
      </c>
      <c r="C106" s="47"/>
      <c r="D106" s="36">
        <v>112.27499999999999</v>
      </c>
      <c r="E106" s="36">
        <f>SUM(E104:E105)</f>
        <v>118.47499999999999</v>
      </c>
      <c r="F106" s="36">
        <f>SUM(F104:F105)</f>
        <v>119.57499999999999</v>
      </c>
      <c r="G106" s="36">
        <f>SUM(G104:G105)</f>
        <v>139.57499999999999</v>
      </c>
      <c r="H106" s="36">
        <f>SUM(H104:H105)</f>
        <v>148.57499999999999</v>
      </c>
      <c r="I106" s="110">
        <f>I108*I12</f>
        <v>122.94239999999999</v>
      </c>
      <c r="J106" s="110">
        <f>J108*J12</f>
        <v>125.96649600000001</v>
      </c>
      <c r="K106" s="110">
        <f>K108*K12</f>
        <v>129.07467312</v>
      </c>
      <c r="L106" s="110">
        <f>L108*L12</f>
        <v>132.269387376</v>
      </c>
      <c r="M106" s="110">
        <f>M108*M12</f>
        <v>135.55316780030404</v>
      </c>
    </row>
    <row r="107" spans="1:13" s="22" customFormat="1" x14ac:dyDescent="0.25">
      <c r="A107" s="50"/>
      <c r="B107" s="59"/>
      <c r="C107" s="54"/>
      <c r="D107" s="84"/>
      <c r="E107" s="84"/>
      <c r="F107" s="84"/>
      <c r="G107" s="84"/>
      <c r="H107" s="84"/>
      <c r="I107" s="91"/>
      <c r="J107" s="91"/>
      <c r="K107" s="91"/>
      <c r="L107" s="91"/>
      <c r="M107" s="91"/>
    </row>
    <row r="108" spans="1:13" s="22" customFormat="1" x14ac:dyDescent="0.25">
      <c r="A108" s="50"/>
      <c r="B108" s="57" t="s">
        <v>187</v>
      </c>
      <c r="C108" s="54"/>
      <c r="D108" s="85">
        <f>D106/D12</f>
        <v>0.15</v>
      </c>
      <c r="E108" s="85">
        <f>E106/E12</f>
        <v>0.14947640676255361</v>
      </c>
      <c r="F108" s="85">
        <f>F106/F12</f>
        <v>0.14943139215196199</v>
      </c>
      <c r="G108" s="85">
        <f>G106/G12</f>
        <v>0.14785487288135593</v>
      </c>
      <c r="H108" s="85">
        <f>H106/H12</f>
        <v>0.14857499999999998</v>
      </c>
      <c r="I108" s="174">
        <f>Assumptions!I31</f>
        <v>0.12</v>
      </c>
      <c r="J108" s="174">
        <f>Assumptions!J31</f>
        <v>0.12</v>
      </c>
      <c r="K108" s="174">
        <f>Assumptions!K31</f>
        <v>0.12</v>
      </c>
      <c r="L108" s="174">
        <f>Assumptions!L31</f>
        <v>0.12</v>
      </c>
      <c r="M108" s="174">
        <f>Assumptions!M31</f>
        <v>0.12</v>
      </c>
    </row>
    <row r="109" spans="1:13" s="22" customFormat="1" x14ac:dyDescent="0.25">
      <c r="A109" s="50"/>
      <c r="B109" s="53"/>
      <c r="C109" s="54"/>
      <c r="D109" s="84"/>
      <c r="E109" s="84"/>
      <c r="F109" s="84"/>
      <c r="G109" s="84"/>
      <c r="H109" s="84"/>
      <c r="I109" s="91"/>
      <c r="J109" s="91"/>
      <c r="K109" s="91"/>
      <c r="L109" s="91"/>
      <c r="M109" s="91"/>
    </row>
    <row r="110" spans="1:13" x14ac:dyDescent="0.25">
      <c r="A110" s="50"/>
      <c r="B110" s="60" t="s">
        <v>135</v>
      </c>
      <c r="C110" s="47"/>
      <c r="D110" s="24"/>
      <c r="E110" s="24"/>
      <c r="F110" s="24"/>
      <c r="G110" s="24"/>
      <c r="H110" s="24"/>
      <c r="I110" s="91"/>
      <c r="J110" s="91"/>
      <c r="K110" s="91"/>
      <c r="L110" s="91"/>
      <c r="M110" s="91"/>
    </row>
    <row r="111" spans="1:13" x14ac:dyDescent="0.25">
      <c r="A111" s="47"/>
      <c r="B111" s="57" t="s">
        <v>136</v>
      </c>
      <c r="C111" s="47" t="s">
        <v>153</v>
      </c>
      <c r="D111" s="24"/>
      <c r="E111" s="26">
        <f t="shared" ref="E111:M111" si="29">D113</f>
        <v>169.1</v>
      </c>
      <c r="F111" s="26">
        <f t="shared" si="29"/>
        <v>189.1</v>
      </c>
      <c r="G111" s="26">
        <f t="shared" si="29"/>
        <v>166.1</v>
      </c>
      <c r="H111" s="26">
        <f t="shared" si="29"/>
        <v>177.5</v>
      </c>
      <c r="I111" s="93">
        <f t="shared" si="29"/>
        <v>208.1</v>
      </c>
      <c r="J111" s="93">
        <f t="shared" si="29"/>
        <v>168.41424657534245</v>
      </c>
      <c r="K111" s="93">
        <f t="shared" si="29"/>
        <v>172.55684383561643</v>
      </c>
      <c r="L111" s="93">
        <f t="shared" si="29"/>
        <v>176.81462071232878</v>
      </c>
      <c r="M111" s="93">
        <f t="shared" si="29"/>
        <v>181.1909416109589</v>
      </c>
    </row>
    <row r="112" spans="1:13" x14ac:dyDescent="0.25">
      <c r="A112" s="47"/>
      <c r="B112" s="58" t="s">
        <v>137</v>
      </c>
      <c r="C112" s="47" t="s">
        <v>153</v>
      </c>
      <c r="D112" s="24"/>
      <c r="E112" s="26">
        <f>E73-D73</f>
        <v>20</v>
      </c>
      <c r="F112" s="26">
        <f>F73-E73</f>
        <v>-23</v>
      </c>
      <c r="G112" s="26">
        <f>G73-F73</f>
        <v>11.400000000000006</v>
      </c>
      <c r="H112" s="26">
        <f>H73-G73</f>
        <v>30.599999999999994</v>
      </c>
      <c r="I112" s="93">
        <f>I113-I111</f>
        <v>-39.685753424657548</v>
      </c>
      <c r="J112" s="93">
        <f>J113-J111</f>
        <v>4.1425972602739876</v>
      </c>
      <c r="K112" s="93">
        <f>K113-K111</f>
        <v>4.2577768767123416</v>
      </c>
      <c r="L112" s="93">
        <f>L113-L111</f>
        <v>4.3763208986301265</v>
      </c>
      <c r="M112" s="93">
        <f>M113-M111</f>
        <v>4.4983293483616933</v>
      </c>
    </row>
    <row r="113" spans="1:13" x14ac:dyDescent="0.25">
      <c r="A113" s="47"/>
      <c r="B113" s="57" t="s">
        <v>138</v>
      </c>
      <c r="C113" s="47" t="s">
        <v>153</v>
      </c>
      <c r="D113" s="24">
        <f>D73</f>
        <v>169.1</v>
      </c>
      <c r="E113" s="26">
        <f>SUM(E111:E112)</f>
        <v>189.1</v>
      </c>
      <c r="F113" s="26">
        <f>SUM(F111:F112)</f>
        <v>166.1</v>
      </c>
      <c r="G113" s="26">
        <f>SUM(G111:G112)</f>
        <v>177.5</v>
      </c>
      <c r="H113" s="26">
        <f>SUM(H111:H112)</f>
        <v>208.1</v>
      </c>
      <c r="I113" s="93">
        <f>I115*I12</f>
        <v>168.41424657534245</v>
      </c>
      <c r="J113" s="93">
        <f>J115*J12</f>
        <v>172.55684383561643</v>
      </c>
      <c r="K113" s="93">
        <f>K115*K12</f>
        <v>176.81462071232878</v>
      </c>
      <c r="L113" s="93">
        <f>L115*L12</f>
        <v>181.1909416109589</v>
      </c>
      <c r="M113" s="93">
        <f>M115*M12</f>
        <v>185.6892709593206</v>
      </c>
    </row>
    <row r="114" spans="1:13" x14ac:dyDescent="0.25">
      <c r="A114" s="47"/>
      <c r="B114" s="59"/>
      <c r="C114" s="47"/>
      <c r="D114" s="24"/>
      <c r="E114" s="24"/>
      <c r="F114" s="24"/>
      <c r="G114" s="24"/>
      <c r="H114" s="24"/>
      <c r="I114" s="91"/>
      <c r="J114" s="91"/>
      <c r="K114" s="91"/>
      <c r="L114" s="91"/>
      <c r="M114" s="91"/>
    </row>
    <row r="115" spans="1:13" x14ac:dyDescent="0.25">
      <c r="A115" s="47"/>
      <c r="B115" s="57" t="s">
        <v>139</v>
      </c>
      <c r="C115" s="47" t="s">
        <v>92</v>
      </c>
      <c r="D115" s="37">
        <f>D73/D12</f>
        <v>0.2259185036740147</v>
      </c>
      <c r="E115" s="37">
        <f>E73/E12</f>
        <v>0.2385818824123139</v>
      </c>
      <c r="F115" s="37">
        <f>F73/F12</f>
        <v>0.20757310672331916</v>
      </c>
      <c r="G115" s="37">
        <f>G73/G12</f>
        <v>0.18802966101694915</v>
      </c>
      <c r="H115" s="37">
        <f>H73/H12</f>
        <v>0.20810000000000001</v>
      </c>
      <c r="I115" s="111">
        <f>I116/365</f>
        <v>0.16438356164383561</v>
      </c>
      <c r="J115" s="111">
        <f>J116/365</f>
        <v>0.16438356164383561</v>
      </c>
      <c r="K115" s="111">
        <f>K116/365</f>
        <v>0.16438356164383561</v>
      </c>
      <c r="L115" s="111">
        <f>L116/365</f>
        <v>0.16438356164383561</v>
      </c>
      <c r="M115" s="111">
        <f>M116/365</f>
        <v>0.16438356164383561</v>
      </c>
    </row>
    <row r="116" spans="1:13" x14ac:dyDescent="0.25">
      <c r="A116" s="47"/>
      <c r="B116" s="57" t="s">
        <v>140</v>
      </c>
      <c r="C116" s="47" t="s">
        <v>101</v>
      </c>
      <c r="D116" s="43">
        <f>D115*365</f>
        <v>82.460253841015358</v>
      </c>
      <c r="E116" s="43">
        <f>E115*365</f>
        <v>87.08238708049457</v>
      </c>
      <c r="F116" s="43">
        <f>F115*365</f>
        <v>75.7641839540115</v>
      </c>
      <c r="G116" s="43">
        <f>G115*365</f>
        <v>68.630826271186436</v>
      </c>
      <c r="H116" s="43">
        <f>H115*365</f>
        <v>75.956500000000005</v>
      </c>
      <c r="I116" s="177">
        <f>Assumptions!I32</f>
        <v>60</v>
      </c>
      <c r="J116" s="177">
        <f>Assumptions!J32</f>
        <v>60</v>
      </c>
      <c r="K116" s="177">
        <f>Assumptions!K32</f>
        <v>60</v>
      </c>
      <c r="L116" s="177">
        <f>Assumptions!L32</f>
        <v>60</v>
      </c>
      <c r="M116" s="177">
        <f>Assumptions!M32</f>
        <v>60</v>
      </c>
    </row>
    <row r="117" spans="1:13" x14ac:dyDescent="0.25">
      <c r="A117" s="47"/>
      <c r="B117" s="59"/>
      <c r="C117" s="47"/>
      <c r="D117" s="24"/>
      <c r="E117" s="24"/>
      <c r="F117" s="24"/>
      <c r="G117" s="24"/>
      <c r="H117" s="24"/>
      <c r="I117" s="91"/>
      <c r="J117" s="91"/>
      <c r="K117" s="91"/>
      <c r="L117" s="91"/>
      <c r="M117" s="91"/>
    </row>
    <row r="118" spans="1:13" x14ac:dyDescent="0.25">
      <c r="A118" s="47"/>
      <c r="B118" s="60" t="s">
        <v>141</v>
      </c>
      <c r="C118" s="47"/>
      <c r="D118" s="24"/>
      <c r="E118" s="24"/>
      <c r="F118" s="24"/>
      <c r="G118" s="24"/>
      <c r="H118" s="24"/>
      <c r="I118" s="91"/>
      <c r="J118" s="91"/>
      <c r="K118" s="91"/>
      <c r="L118" s="91"/>
      <c r="M118" s="91"/>
    </row>
    <row r="119" spans="1:13" x14ac:dyDescent="0.25">
      <c r="A119" s="47"/>
      <c r="B119" s="57" t="s">
        <v>136</v>
      </c>
      <c r="C119" s="47" t="s">
        <v>153</v>
      </c>
      <c r="D119" s="43"/>
      <c r="E119" s="43">
        <f t="shared" ref="E119:M119" si="30">D121</f>
        <v>127.3</v>
      </c>
      <c r="F119" s="43">
        <f t="shared" si="30"/>
        <v>132</v>
      </c>
      <c r="G119" s="43">
        <f t="shared" si="30"/>
        <v>128</v>
      </c>
      <c r="H119" s="43">
        <f t="shared" si="30"/>
        <v>142.80000000000001</v>
      </c>
      <c r="I119" s="93">
        <f t="shared" si="30"/>
        <v>148.19999999999999</v>
      </c>
      <c r="J119" s="93">
        <f t="shared" si="30"/>
        <v>159.92507317073174</v>
      </c>
      <c r="K119" s="93">
        <f t="shared" si="30"/>
        <v>163.85885658536588</v>
      </c>
      <c r="L119" s="93">
        <f t="shared" si="30"/>
        <v>167.90201381463416</v>
      </c>
      <c r="M119" s="93">
        <f t="shared" si="30"/>
        <v>172.05773967609758</v>
      </c>
    </row>
    <row r="120" spans="1:13" x14ac:dyDescent="0.25">
      <c r="A120" s="47"/>
      <c r="B120" s="58" t="s">
        <v>137</v>
      </c>
      <c r="C120" s="47" t="s">
        <v>153</v>
      </c>
      <c r="D120" s="43"/>
      <c r="E120" s="43">
        <f>E74-D74</f>
        <v>4.7000000000000028</v>
      </c>
      <c r="F120" s="43">
        <f>F74-E74</f>
        <v>-4</v>
      </c>
      <c r="G120" s="43">
        <f>G74-F74</f>
        <v>14.800000000000011</v>
      </c>
      <c r="H120" s="43">
        <f>H74-G74</f>
        <v>5.3999999999999773</v>
      </c>
      <c r="I120" s="93">
        <f>I121-I119</f>
        <v>11.725073170731747</v>
      </c>
      <c r="J120" s="93">
        <f>J121-J119</f>
        <v>3.9337834146341493</v>
      </c>
      <c r="K120" s="93">
        <f>K121-K119</f>
        <v>4.0431572292682745</v>
      </c>
      <c r="L120" s="93">
        <f>L121-L119</f>
        <v>4.1557258614634236</v>
      </c>
      <c r="M120" s="93">
        <f>M121-M119</f>
        <v>4.2715842917776001</v>
      </c>
    </row>
    <row r="121" spans="1:13" x14ac:dyDescent="0.25">
      <c r="A121" s="47"/>
      <c r="B121" s="57" t="s">
        <v>138</v>
      </c>
      <c r="C121" s="47" t="s">
        <v>153</v>
      </c>
      <c r="D121" s="43">
        <f>D74</f>
        <v>127.3</v>
      </c>
      <c r="E121" s="43">
        <f>SUM(E119:E120)</f>
        <v>132</v>
      </c>
      <c r="F121" s="43">
        <f>SUM(F119:F120)</f>
        <v>128</v>
      </c>
      <c r="G121" s="43">
        <f>SUM(G119:G120)</f>
        <v>142.80000000000001</v>
      </c>
      <c r="H121" s="43">
        <f>SUM(H119:H120)</f>
        <v>148.19999999999999</v>
      </c>
      <c r="I121" s="112">
        <f>I123*I13</f>
        <v>159.92507317073174</v>
      </c>
      <c r="J121" s="112">
        <f>J123*J13</f>
        <v>163.85885658536588</v>
      </c>
      <c r="K121" s="112">
        <f>K123*K13</f>
        <v>167.90201381463416</v>
      </c>
      <c r="L121" s="112">
        <f>L123*L13</f>
        <v>172.05773967609758</v>
      </c>
      <c r="M121" s="112">
        <f>M123*M13</f>
        <v>176.32932396787518</v>
      </c>
    </row>
    <row r="122" spans="1:13" x14ac:dyDescent="0.25">
      <c r="A122" s="47"/>
      <c r="B122" s="59"/>
      <c r="C122" s="47"/>
      <c r="D122" s="24"/>
      <c r="E122" s="24"/>
      <c r="F122" s="24"/>
      <c r="G122" s="24"/>
      <c r="H122" s="24"/>
      <c r="I122" s="91"/>
      <c r="J122" s="91"/>
      <c r="K122" s="91"/>
      <c r="L122" s="91"/>
      <c r="M122" s="91"/>
    </row>
    <row r="123" spans="1:13" x14ac:dyDescent="0.25">
      <c r="A123" s="47"/>
      <c r="B123" s="57" t="s">
        <v>142</v>
      </c>
      <c r="C123" s="47" t="s">
        <v>92</v>
      </c>
      <c r="D123" s="37">
        <f>D74/D13</f>
        <v>0.27079344820251011</v>
      </c>
      <c r="E123" s="37">
        <f>E74/E13</f>
        <v>0.26575397624320518</v>
      </c>
      <c r="F123" s="37">
        <f>F74/F13</f>
        <v>0.25356576862123614</v>
      </c>
      <c r="G123" s="37">
        <f>G74/G13</f>
        <v>0.25198517734250925</v>
      </c>
      <c r="H123" s="37">
        <f>H74/H13</f>
        <v>0.24387033075530687</v>
      </c>
      <c r="I123" s="113">
        <f>1/I124</f>
        <v>0.24390243902439027</v>
      </c>
      <c r="J123" s="113">
        <f>1/J124</f>
        <v>0.24390243902439027</v>
      </c>
      <c r="K123" s="113">
        <f>1/K124</f>
        <v>0.24390243902439027</v>
      </c>
      <c r="L123" s="113">
        <f>1/L124</f>
        <v>0.24390243902439027</v>
      </c>
      <c r="M123" s="113">
        <f>1/M124</f>
        <v>0.24390243902439027</v>
      </c>
    </row>
    <row r="124" spans="1:13" x14ac:dyDescent="0.25">
      <c r="A124" s="47"/>
      <c r="B124" s="57" t="s">
        <v>143</v>
      </c>
      <c r="C124" s="47" t="s">
        <v>101</v>
      </c>
      <c r="D124" s="43">
        <f>1/D123</f>
        <v>3.6928515318146111</v>
      </c>
      <c r="E124" s="43">
        <f>1/E123</f>
        <v>3.7628787878787877</v>
      </c>
      <c r="F124" s="43">
        <f>1/F123</f>
        <v>3.9437499999999996</v>
      </c>
      <c r="G124" s="43">
        <f>1/G123</f>
        <v>3.9684873949579833</v>
      </c>
      <c r="H124" s="43">
        <f>1/H123</f>
        <v>4.1005398110661275</v>
      </c>
      <c r="I124" s="135">
        <f>Assumptions!I33</f>
        <v>4.0999999999999996</v>
      </c>
      <c r="J124" s="135">
        <f>Assumptions!J33</f>
        <v>4.0999999999999996</v>
      </c>
      <c r="K124" s="135">
        <f>Assumptions!K33</f>
        <v>4.0999999999999996</v>
      </c>
      <c r="L124" s="135">
        <f>Assumptions!L33</f>
        <v>4.0999999999999996</v>
      </c>
      <c r="M124" s="135">
        <f>Assumptions!M33</f>
        <v>4.0999999999999996</v>
      </c>
    </row>
    <row r="125" spans="1:13" x14ac:dyDescent="0.25">
      <c r="A125" s="47"/>
      <c r="B125" s="59"/>
      <c r="C125" s="47"/>
      <c r="D125" s="24"/>
      <c r="E125" s="24"/>
      <c r="F125" s="24"/>
      <c r="G125" s="24"/>
      <c r="H125" s="24"/>
      <c r="I125" s="91"/>
      <c r="J125" s="91"/>
      <c r="K125" s="91"/>
      <c r="L125" s="91"/>
      <c r="M125" s="91"/>
    </row>
    <row r="126" spans="1:13" x14ac:dyDescent="0.25">
      <c r="A126" s="47"/>
      <c r="B126" s="53" t="s">
        <v>144</v>
      </c>
      <c r="C126" s="47"/>
      <c r="D126" s="24"/>
      <c r="E126" s="24"/>
      <c r="F126" s="24"/>
      <c r="G126" s="24"/>
      <c r="H126" s="24"/>
      <c r="I126" s="91"/>
      <c r="J126" s="91"/>
      <c r="K126" s="91"/>
      <c r="L126" s="91"/>
      <c r="M126" s="91"/>
    </row>
    <row r="127" spans="1:13" x14ac:dyDescent="0.25">
      <c r="A127" s="47"/>
      <c r="B127" s="57" t="s">
        <v>136</v>
      </c>
      <c r="C127" s="47" t="s">
        <v>153</v>
      </c>
      <c r="D127" s="43"/>
      <c r="E127" s="43">
        <f t="shared" ref="E127:M127" si="31">D129</f>
        <v>152.9</v>
      </c>
      <c r="F127" s="43">
        <f t="shared" si="31"/>
        <v>173.5</v>
      </c>
      <c r="G127" s="43">
        <f t="shared" si="31"/>
        <v>144.30000000000001</v>
      </c>
      <c r="H127" s="43">
        <f t="shared" si="31"/>
        <v>175.5</v>
      </c>
      <c r="I127" s="93">
        <f t="shared" si="31"/>
        <v>279.10000000000002</v>
      </c>
      <c r="J127" s="93">
        <f t="shared" si="31"/>
        <v>107.78511780821918</v>
      </c>
      <c r="K127" s="93">
        <f t="shared" si="31"/>
        <v>110.43638005479453</v>
      </c>
      <c r="L127" s="93">
        <f t="shared" si="31"/>
        <v>113.16135725589041</v>
      </c>
      <c r="M127" s="93">
        <f t="shared" si="31"/>
        <v>115.9622026310137</v>
      </c>
    </row>
    <row r="128" spans="1:13" x14ac:dyDescent="0.25">
      <c r="A128" s="47"/>
      <c r="B128" s="58" t="s">
        <v>137</v>
      </c>
      <c r="C128" s="47" t="s">
        <v>153</v>
      </c>
      <c r="D128" s="43"/>
      <c r="E128" s="43">
        <f>E84-D84</f>
        <v>20.599999999999994</v>
      </c>
      <c r="F128" s="43">
        <f>F84-E84</f>
        <v>-29.199999999999989</v>
      </c>
      <c r="G128" s="43">
        <f>G84-F84</f>
        <v>31.199999999999989</v>
      </c>
      <c r="H128" s="43">
        <f>H84-G84</f>
        <v>103.60000000000002</v>
      </c>
      <c r="I128" s="93">
        <f>I129-I127</f>
        <v>-171.31488219178084</v>
      </c>
      <c r="J128" s="93">
        <f>J129-J127</f>
        <v>2.6512622465753424</v>
      </c>
      <c r="K128" s="93">
        <f>K129-K127</f>
        <v>2.7249772010958822</v>
      </c>
      <c r="L128" s="93">
        <f>L129-L127</f>
        <v>2.8008453751232878</v>
      </c>
      <c r="M128" s="93">
        <f>M129-M127</f>
        <v>2.8789307829514712</v>
      </c>
    </row>
    <row r="129" spans="1:13" x14ac:dyDescent="0.25">
      <c r="A129" s="47"/>
      <c r="B129" s="57" t="s">
        <v>138</v>
      </c>
      <c r="C129" s="47" t="s">
        <v>153</v>
      </c>
      <c r="D129" s="43">
        <f>D84</f>
        <v>152.9</v>
      </c>
      <c r="E129" s="43">
        <f>SUM(E127:E128)</f>
        <v>173.5</v>
      </c>
      <c r="F129" s="43">
        <f>SUM(F127:F128)</f>
        <v>144.30000000000001</v>
      </c>
      <c r="G129" s="43">
        <f>SUM(G127:G128)</f>
        <v>175.5</v>
      </c>
      <c r="H129" s="43">
        <f>SUM(H127:H128)</f>
        <v>279.10000000000002</v>
      </c>
      <c r="I129" s="112">
        <f>I131*I13</f>
        <v>107.78511780821918</v>
      </c>
      <c r="J129" s="112">
        <f>J131*J13</f>
        <v>110.43638005479453</v>
      </c>
      <c r="K129" s="112">
        <f>K131*K13</f>
        <v>113.16135725589041</v>
      </c>
      <c r="L129" s="112">
        <f>L131*L13</f>
        <v>115.9622026310137</v>
      </c>
      <c r="M129" s="112">
        <f>M131*M13</f>
        <v>118.84113341396517</v>
      </c>
    </row>
    <row r="130" spans="1:13" x14ac:dyDescent="0.25">
      <c r="A130" s="47"/>
      <c r="B130" s="59"/>
      <c r="C130" s="47"/>
      <c r="D130" s="24"/>
      <c r="E130" s="24"/>
      <c r="F130" s="24"/>
      <c r="G130" s="24"/>
      <c r="H130" s="24"/>
      <c r="I130" s="91"/>
      <c r="J130" s="91"/>
      <c r="K130" s="91"/>
      <c r="L130" s="91"/>
      <c r="M130" s="91"/>
    </row>
    <row r="131" spans="1:13" x14ac:dyDescent="0.25">
      <c r="A131" s="47"/>
      <c r="B131" s="57" t="s">
        <v>145</v>
      </c>
      <c r="C131" s="47" t="s">
        <v>92</v>
      </c>
      <c r="D131" s="37">
        <f>D84/D13</f>
        <v>0.32524994681982555</v>
      </c>
      <c r="E131" s="37">
        <f>E84/E13</f>
        <v>0.34930541574390983</v>
      </c>
      <c r="F131" s="37">
        <f>F84/F13</f>
        <v>0.28585578446909671</v>
      </c>
      <c r="G131" s="37">
        <f>G84/G13</f>
        <v>0.30968766543144516</v>
      </c>
      <c r="H131" s="37">
        <f>H84/H13</f>
        <v>0.45927266743458944</v>
      </c>
      <c r="I131" s="111">
        <f>I132/365</f>
        <v>0.16438356164383561</v>
      </c>
      <c r="J131" s="111">
        <f>J132/365</f>
        <v>0.16438356164383561</v>
      </c>
      <c r="K131" s="111">
        <f>K132/365</f>
        <v>0.16438356164383561</v>
      </c>
      <c r="L131" s="111">
        <f>L132/365</f>
        <v>0.16438356164383561</v>
      </c>
      <c r="M131" s="111">
        <f>M132/365</f>
        <v>0.16438356164383561</v>
      </c>
    </row>
    <row r="132" spans="1:13" x14ac:dyDescent="0.25">
      <c r="A132" s="47"/>
      <c r="B132" s="57" t="s">
        <v>146</v>
      </c>
      <c r="C132" s="47" t="s">
        <v>101</v>
      </c>
      <c r="D132" s="43">
        <f>D131*365</f>
        <v>118.71623058923633</v>
      </c>
      <c r="E132" s="43">
        <f>E131*365</f>
        <v>127.49647674652709</v>
      </c>
      <c r="F132" s="43">
        <f>F131*365</f>
        <v>104.33736133122029</v>
      </c>
      <c r="G132" s="43">
        <f>G131*365</f>
        <v>113.03599788247749</v>
      </c>
      <c r="H132" s="43">
        <f>H131*365</f>
        <v>167.63452361362513</v>
      </c>
      <c r="I132" s="178">
        <f>Assumptions!I34</f>
        <v>60</v>
      </c>
      <c r="J132" s="178">
        <f>Assumptions!J34</f>
        <v>60</v>
      </c>
      <c r="K132" s="178">
        <f>Assumptions!K34</f>
        <v>60</v>
      </c>
      <c r="L132" s="178">
        <f>Assumptions!L34</f>
        <v>60</v>
      </c>
      <c r="M132" s="178">
        <f>Assumptions!M34</f>
        <v>60</v>
      </c>
    </row>
    <row r="133" spans="1:13" x14ac:dyDescent="0.25">
      <c r="A133" s="47"/>
      <c r="B133" s="57"/>
      <c r="C133" s="47"/>
      <c r="D133" s="24"/>
      <c r="E133" s="24"/>
      <c r="F133" s="24"/>
      <c r="G133" s="24"/>
      <c r="H133" s="24"/>
      <c r="I133" s="91"/>
      <c r="J133" s="91"/>
      <c r="K133" s="91"/>
      <c r="L133" s="91"/>
      <c r="M133" s="91"/>
    </row>
    <row r="134" spans="1:13" x14ac:dyDescent="0.25">
      <c r="A134" s="47"/>
      <c r="B134" s="50" t="s">
        <v>12</v>
      </c>
      <c r="C134" s="47"/>
      <c r="D134" s="24"/>
      <c r="E134" s="24"/>
      <c r="F134" s="24"/>
      <c r="G134" s="24"/>
      <c r="H134" s="24"/>
      <c r="I134" s="91"/>
      <c r="J134" s="91"/>
      <c r="K134" s="91"/>
      <c r="L134" s="91"/>
      <c r="M134" s="91"/>
    </row>
    <row r="135" spans="1:13" x14ac:dyDescent="0.25">
      <c r="A135" s="47"/>
      <c r="B135" s="57" t="s">
        <v>136</v>
      </c>
      <c r="C135" s="47" t="s">
        <v>153</v>
      </c>
      <c r="D135" s="43"/>
      <c r="E135" s="43">
        <f t="shared" ref="E135:M135" si="32">D137</f>
        <v>119</v>
      </c>
      <c r="F135" s="43">
        <f t="shared" si="32"/>
        <v>117.6</v>
      </c>
      <c r="G135" s="43">
        <f t="shared" si="32"/>
        <v>119.1</v>
      </c>
      <c r="H135" s="43">
        <f t="shared" si="32"/>
        <v>189.5</v>
      </c>
      <c r="I135" s="93">
        <f t="shared" si="32"/>
        <v>183.7</v>
      </c>
      <c r="J135" s="93">
        <f t="shared" si="32"/>
        <v>194.65879999999999</v>
      </c>
      <c r="K135" s="93">
        <f t="shared" si="32"/>
        <v>199.44695200000001</v>
      </c>
      <c r="L135" s="93">
        <f t="shared" si="32"/>
        <v>204.36823244000001</v>
      </c>
      <c r="M135" s="93">
        <f t="shared" si="32"/>
        <v>209.42653001200003</v>
      </c>
    </row>
    <row r="136" spans="1:13" x14ac:dyDescent="0.25">
      <c r="A136" s="47"/>
      <c r="B136" s="58" t="s">
        <v>137</v>
      </c>
      <c r="C136" s="47" t="s">
        <v>153</v>
      </c>
      <c r="D136" s="43"/>
      <c r="E136" s="43">
        <f>E75-D75</f>
        <v>-1.4000000000000057</v>
      </c>
      <c r="F136" s="43">
        <f>F75-E75</f>
        <v>1.5</v>
      </c>
      <c r="G136" s="43">
        <f>G75-F75</f>
        <v>70.400000000000006</v>
      </c>
      <c r="H136" s="43">
        <f>H75-G75</f>
        <v>-5.8000000000000114</v>
      </c>
      <c r="I136" s="93">
        <f>I137-I135</f>
        <v>10.958799999999997</v>
      </c>
      <c r="J136" s="93">
        <f>J137-J135</f>
        <v>4.7881520000000251</v>
      </c>
      <c r="K136" s="93">
        <f>K137-K135</f>
        <v>4.9212804400000039</v>
      </c>
      <c r="L136" s="93">
        <f>L137-L135</f>
        <v>5.058297572000015</v>
      </c>
      <c r="M136" s="93">
        <f>M137-M135</f>
        <v>5.1993190051480269</v>
      </c>
    </row>
    <row r="137" spans="1:13" x14ac:dyDescent="0.25">
      <c r="A137" s="47"/>
      <c r="B137" s="57" t="s">
        <v>138</v>
      </c>
      <c r="C137" s="47" t="s">
        <v>153</v>
      </c>
      <c r="D137" s="43">
        <f>D75</f>
        <v>119</v>
      </c>
      <c r="E137" s="43">
        <f>SUM(E135:E136)</f>
        <v>117.6</v>
      </c>
      <c r="F137" s="43">
        <f>SUM(F135:F136)</f>
        <v>119.1</v>
      </c>
      <c r="G137" s="43">
        <f>SUM(G135:G136)</f>
        <v>189.5</v>
      </c>
      <c r="H137" s="43">
        <f>SUM(H135:H136)</f>
        <v>183.7</v>
      </c>
      <c r="I137" s="112">
        <f>I139*I12</f>
        <v>194.65879999999999</v>
      </c>
      <c r="J137" s="112">
        <f>J139*J12</f>
        <v>199.44695200000001</v>
      </c>
      <c r="K137" s="112">
        <f>K139*K12</f>
        <v>204.36823244000001</v>
      </c>
      <c r="L137" s="112">
        <f>L139*L12</f>
        <v>209.42653001200003</v>
      </c>
      <c r="M137" s="112">
        <f>M139*M12</f>
        <v>214.62584901714806</v>
      </c>
    </row>
    <row r="138" spans="1:13" x14ac:dyDescent="0.25">
      <c r="A138" s="47"/>
      <c r="B138" s="57"/>
      <c r="C138" s="47"/>
      <c r="D138" s="24"/>
      <c r="E138" s="24"/>
      <c r="F138" s="24"/>
      <c r="G138" s="24"/>
      <c r="H138" s="24"/>
      <c r="I138" s="91"/>
      <c r="J138" s="91"/>
      <c r="K138" s="91"/>
      <c r="L138" s="91"/>
      <c r="M138" s="91"/>
    </row>
    <row r="139" spans="1:13" x14ac:dyDescent="0.25">
      <c r="A139" s="47"/>
      <c r="B139" s="57" t="s">
        <v>169</v>
      </c>
      <c r="C139" s="47" t="s">
        <v>92</v>
      </c>
      <c r="D139" s="37">
        <f>D137/D12</f>
        <v>0.15898463593854376</v>
      </c>
      <c r="E139" s="37">
        <f>E137/E12</f>
        <v>0.14837244511733533</v>
      </c>
      <c r="F139" s="37">
        <f>F137/F12</f>
        <v>0.1488377905523619</v>
      </c>
      <c r="G139" s="37">
        <f>G137/G12</f>
        <v>0.20074152542372881</v>
      </c>
      <c r="H139" s="37">
        <f>H137/H12</f>
        <v>0.1837</v>
      </c>
      <c r="I139" s="136">
        <f>Assumptions!I35</f>
        <v>0.19</v>
      </c>
      <c r="J139" s="136">
        <f>Assumptions!J35</f>
        <v>0.19</v>
      </c>
      <c r="K139" s="136">
        <f>Assumptions!K35</f>
        <v>0.19</v>
      </c>
      <c r="L139" s="136">
        <f>Assumptions!L35</f>
        <v>0.19</v>
      </c>
      <c r="M139" s="136">
        <f>Assumptions!M35</f>
        <v>0.19</v>
      </c>
    </row>
    <row r="140" spans="1:13" x14ac:dyDescent="0.25">
      <c r="A140" s="47"/>
      <c r="B140" s="59"/>
      <c r="C140" s="47"/>
      <c r="D140" s="24"/>
      <c r="E140" s="24"/>
      <c r="F140" s="24"/>
      <c r="G140" s="24"/>
      <c r="H140" s="24"/>
      <c r="I140" s="91"/>
      <c r="J140" s="91"/>
      <c r="K140" s="91"/>
      <c r="L140" s="91"/>
      <c r="M140" s="91"/>
    </row>
    <row r="141" spans="1:13" x14ac:dyDescent="0.25">
      <c r="A141" s="47"/>
      <c r="B141" s="50" t="s">
        <v>156</v>
      </c>
      <c r="C141" s="47"/>
      <c r="D141" s="24"/>
      <c r="E141" s="24"/>
      <c r="F141" s="24"/>
      <c r="G141" s="24"/>
      <c r="H141" s="24"/>
      <c r="I141" s="91"/>
      <c r="J141" s="91"/>
      <c r="K141" s="91"/>
      <c r="L141" s="91"/>
      <c r="M141" s="91"/>
    </row>
    <row r="142" spans="1:13" x14ac:dyDescent="0.25">
      <c r="A142" s="47"/>
      <c r="B142" s="57" t="s">
        <v>136</v>
      </c>
      <c r="C142" s="47" t="s">
        <v>153</v>
      </c>
      <c r="D142" s="26"/>
      <c r="E142" s="26">
        <f t="shared" ref="E142:M142" si="33">D144</f>
        <v>135.69999999999999</v>
      </c>
      <c r="F142" s="26">
        <f t="shared" si="33"/>
        <v>148.79999999999995</v>
      </c>
      <c r="G142" s="26">
        <f t="shared" si="33"/>
        <v>163.59999999999974</v>
      </c>
      <c r="H142" s="26">
        <f t="shared" si="33"/>
        <v>418.79999999999961</v>
      </c>
      <c r="I142" s="93">
        <f t="shared" si="33"/>
        <v>346.50000000000006</v>
      </c>
      <c r="J142" s="93">
        <f t="shared" si="33"/>
        <v>348.33680000000004</v>
      </c>
      <c r="K142" s="93">
        <f t="shared" si="33"/>
        <v>356.90507200000002</v>
      </c>
      <c r="L142" s="93">
        <f t="shared" si="33"/>
        <v>365.71157384000003</v>
      </c>
      <c r="M142" s="93">
        <f t="shared" si="33"/>
        <v>374.76326423200004</v>
      </c>
    </row>
    <row r="143" spans="1:13" x14ac:dyDescent="0.25">
      <c r="A143" s="47"/>
      <c r="B143" s="58" t="s">
        <v>137</v>
      </c>
      <c r="C143" s="47" t="s">
        <v>153</v>
      </c>
      <c r="D143" s="26"/>
      <c r="E143" s="26">
        <f>E85-D85</f>
        <v>13.099999999999966</v>
      </c>
      <c r="F143" s="26">
        <f>F85-E85</f>
        <v>14.799999999999784</v>
      </c>
      <c r="G143" s="26">
        <f>G85-F85</f>
        <v>255.19999999999987</v>
      </c>
      <c r="H143" s="26">
        <f>H85-G85</f>
        <v>-72.299999999999557</v>
      </c>
      <c r="I143" s="93">
        <f>I144-I142</f>
        <v>1.8367999999999824</v>
      </c>
      <c r="J143" s="93">
        <f>J144-J142</f>
        <v>8.568271999999979</v>
      </c>
      <c r="K143" s="93">
        <f>K144-K142</f>
        <v>8.8065018400000099</v>
      </c>
      <c r="L143" s="93">
        <f>L144-L142</f>
        <v>9.0516903920000118</v>
      </c>
      <c r="M143" s="93">
        <f>M144-M142</f>
        <v>9.3040445355280781</v>
      </c>
    </row>
    <row r="144" spans="1:13" x14ac:dyDescent="0.25">
      <c r="A144" s="47"/>
      <c r="B144" s="57" t="s">
        <v>138</v>
      </c>
      <c r="C144" s="47" t="s">
        <v>153</v>
      </c>
      <c r="D144" s="26">
        <f>D85</f>
        <v>135.69999999999999</v>
      </c>
      <c r="E144" s="26">
        <f>SUM(E142:E143)</f>
        <v>148.79999999999995</v>
      </c>
      <c r="F144" s="26">
        <f>SUM(F142:F143)</f>
        <v>163.59999999999974</v>
      </c>
      <c r="G144" s="26">
        <f>SUM(G142:G143)</f>
        <v>418.79999999999961</v>
      </c>
      <c r="H144" s="26">
        <f>SUM(H142:H143)</f>
        <v>346.50000000000006</v>
      </c>
      <c r="I144" s="93">
        <f>I146*I12</f>
        <v>348.33680000000004</v>
      </c>
      <c r="J144" s="93">
        <f>J146*J12</f>
        <v>356.90507200000002</v>
      </c>
      <c r="K144" s="93">
        <f>K146*K12</f>
        <v>365.71157384000003</v>
      </c>
      <c r="L144" s="93">
        <f>L146*L12</f>
        <v>374.76326423200004</v>
      </c>
      <c r="M144" s="93">
        <f>M146*M12</f>
        <v>384.06730876752812</v>
      </c>
    </row>
    <row r="145" spans="1:13" x14ac:dyDescent="0.25">
      <c r="A145" s="47"/>
      <c r="B145" s="59"/>
      <c r="C145" s="47"/>
      <c r="D145" s="24"/>
      <c r="E145" s="24"/>
      <c r="F145" s="24"/>
      <c r="G145" s="24"/>
      <c r="H145" s="24"/>
      <c r="I145" s="91"/>
      <c r="J145" s="91"/>
      <c r="K145" s="91"/>
      <c r="L145" s="91"/>
      <c r="M145" s="91"/>
    </row>
    <row r="146" spans="1:13" x14ac:dyDescent="0.25">
      <c r="A146" s="47"/>
      <c r="B146" s="55" t="s">
        <v>155</v>
      </c>
      <c r="C146" s="47" t="s">
        <v>92</v>
      </c>
      <c r="D146" s="37">
        <f>D144/D12</f>
        <v>0.18129592518370072</v>
      </c>
      <c r="E146" s="37">
        <f>E144/E12</f>
        <v>0.18773656320968957</v>
      </c>
      <c r="F146" s="37">
        <f>F144/F12</f>
        <v>0.20444888777805514</v>
      </c>
      <c r="G146" s="37">
        <f>G144/G12</f>
        <v>0.44364406779660975</v>
      </c>
      <c r="H146" s="37">
        <f>H144/H12</f>
        <v>0.34650000000000003</v>
      </c>
      <c r="I146" s="170">
        <f>Assumptions!I36</f>
        <v>0.34</v>
      </c>
      <c r="J146" s="170">
        <f>Assumptions!J36</f>
        <v>0.34</v>
      </c>
      <c r="K146" s="170">
        <f>Assumptions!K36</f>
        <v>0.34</v>
      </c>
      <c r="L146" s="170">
        <f>Assumptions!L36</f>
        <v>0.34</v>
      </c>
      <c r="M146" s="170">
        <f>Assumptions!M36</f>
        <v>0.34</v>
      </c>
    </row>
    <row r="147" spans="1:13" x14ac:dyDescent="0.25">
      <c r="A147" s="47"/>
      <c r="B147" s="59"/>
      <c r="C147" s="47"/>
      <c r="D147" s="24"/>
      <c r="E147" s="24"/>
      <c r="F147" s="24"/>
      <c r="G147" s="24"/>
      <c r="H147" s="24"/>
      <c r="I147" s="91"/>
      <c r="J147" s="91"/>
      <c r="K147" s="91"/>
      <c r="L147" s="91"/>
      <c r="M147" s="91"/>
    </row>
    <row r="148" spans="1:13" x14ac:dyDescent="0.25">
      <c r="A148" s="53" t="s">
        <v>159</v>
      </c>
      <c r="B148" s="47"/>
      <c r="C148" s="47"/>
      <c r="D148" s="24"/>
      <c r="E148" s="24"/>
      <c r="F148" s="24"/>
      <c r="G148" s="24"/>
      <c r="H148" s="24"/>
      <c r="I148" s="91"/>
      <c r="J148" s="91"/>
      <c r="K148" s="91"/>
      <c r="L148" s="91"/>
      <c r="M148" s="91"/>
    </row>
    <row r="149" spans="1:13" x14ac:dyDescent="0.25">
      <c r="A149" s="52"/>
      <c r="B149" s="61" t="str">
        <f>B9</f>
        <v>Fiscal year</v>
      </c>
      <c r="C149" s="62"/>
      <c r="D149" s="86">
        <f t="shared" ref="D149:M149" si="34">D9</f>
        <v>2016</v>
      </c>
      <c r="E149" s="86">
        <f t="shared" si="34"/>
        <v>2017</v>
      </c>
      <c r="F149" s="86">
        <f t="shared" si="34"/>
        <v>2018</v>
      </c>
      <c r="G149" s="86">
        <f t="shared" si="34"/>
        <v>2019</v>
      </c>
      <c r="H149" s="86">
        <f t="shared" si="34"/>
        <v>2020</v>
      </c>
      <c r="I149" s="116">
        <f t="shared" si="34"/>
        <v>2021</v>
      </c>
      <c r="J149" s="116">
        <f t="shared" si="34"/>
        <v>2022</v>
      </c>
      <c r="K149" s="116">
        <f t="shared" si="34"/>
        <v>2023</v>
      </c>
      <c r="L149" s="116">
        <f t="shared" si="34"/>
        <v>2024</v>
      </c>
      <c r="M149" s="116">
        <f t="shared" si="34"/>
        <v>2025</v>
      </c>
    </row>
    <row r="150" spans="1:13" x14ac:dyDescent="0.25">
      <c r="A150" s="56"/>
      <c r="B150" s="63" t="str">
        <f>B10</f>
        <v>Fiscal year end date</v>
      </c>
      <c r="C150" s="64" t="str">
        <f>C10</f>
        <v>Units</v>
      </c>
      <c r="D150" s="42">
        <f t="shared" ref="D150:M150" si="35">D10</f>
        <v>42643</v>
      </c>
      <c r="E150" s="42">
        <f t="shared" si="35"/>
        <v>43008</v>
      </c>
      <c r="F150" s="42">
        <f t="shared" si="35"/>
        <v>43373</v>
      </c>
      <c r="G150" s="42">
        <f t="shared" si="35"/>
        <v>43738</v>
      </c>
      <c r="H150" s="42">
        <f t="shared" si="35"/>
        <v>44103</v>
      </c>
      <c r="I150" s="117">
        <f t="shared" si="35"/>
        <v>44469</v>
      </c>
      <c r="J150" s="117">
        <f t="shared" si="35"/>
        <v>44834</v>
      </c>
      <c r="K150" s="117">
        <f t="shared" si="35"/>
        <v>45199</v>
      </c>
      <c r="L150" s="117">
        <f t="shared" si="35"/>
        <v>45565</v>
      </c>
      <c r="M150" s="117">
        <f t="shared" si="35"/>
        <v>45930</v>
      </c>
    </row>
    <row r="151" spans="1:13" x14ac:dyDescent="0.25">
      <c r="A151" s="54"/>
      <c r="B151" s="65"/>
      <c r="C151" s="65"/>
      <c r="D151" s="87"/>
      <c r="E151" s="87"/>
      <c r="F151" s="87"/>
      <c r="G151" s="87"/>
      <c r="H151" s="87"/>
      <c r="I151" s="91"/>
      <c r="J151" s="91"/>
      <c r="K151" s="91"/>
      <c r="L151" s="91"/>
      <c r="M151" s="91"/>
    </row>
    <row r="152" spans="1:13" x14ac:dyDescent="0.25">
      <c r="A152" s="47"/>
      <c r="B152" s="53" t="s">
        <v>192</v>
      </c>
      <c r="C152" s="47"/>
      <c r="D152" s="24"/>
      <c r="E152" s="24"/>
      <c r="F152" s="24"/>
      <c r="G152" s="24"/>
      <c r="H152" s="24"/>
      <c r="I152" s="91"/>
      <c r="J152" s="91"/>
      <c r="K152" s="91"/>
      <c r="L152" s="91"/>
      <c r="M152" s="91"/>
    </row>
    <row r="153" spans="1:13" x14ac:dyDescent="0.25">
      <c r="A153" s="47"/>
      <c r="B153" s="57" t="s">
        <v>193</v>
      </c>
      <c r="C153" s="47" t="s">
        <v>153</v>
      </c>
      <c r="D153" s="26"/>
      <c r="E153" s="26">
        <f t="shared" ref="E153:M153" si="36">D155</f>
        <v>1142.5999999999999</v>
      </c>
      <c r="F153" s="26">
        <f t="shared" si="36"/>
        <v>1200.5999999999999</v>
      </c>
      <c r="G153" s="26">
        <f t="shared" si="36"/>
        <v>1238.3</v>
      </c>
      <c r="H153" s="26">
        <f t="shared" si="36"/>
        <v>1356.7</v>
      </c>
      <c r="I153" s="93">
        <f t="shared" si="36"/>
        <v>1517.8</v>
      </c>
      <c r="J153" s="93">
        <f t="shared" si="36"/>
        <v>1599.7616</v>
      </c>
      <c r="K153" s="93">
        <f t="shared" si="36"/>
        <v>1683.739264</v>
      </c>
      <c r="L153" s="93">
        <f t="shared" si="36"/>
        <v>1769.7890460799999</v>
      </c>
      <c r="M153" s="93">
        <f t="shared" si="36"/>
        <v>1857.968637664</v>
      </c>
    </row>
    <row r="154" spans="1:13" x14ac:dyDescent="0.25">
      <c r="A154" s="47"/>
      <c r="B154" s="58" t="s">
        <v>157</v>
      </c>
      <c r="C154" s="47" t="s">
        <v>153</v>
      </c>
      <c r="D154" s="26"/>
      <c r="E154" s="26">
        <f>E159</f>
        <v>58</v>
      </c>
      <c r="F154" s="26">
        <f>F159</f>
        <v>37.700000000000045</v>
      </c>
      <c r="G154" s="26">
        <f>G159</f>
        <v>118.40000000000009</v>
      </c>
      <c r="H154" s="26">
        <f>H159</f>
        <v>161.09999999999991</v>
      </c>
      <c r="I154" s="93">
        <f>I159+I161</f>
        <v>81.961600000000004</v>
      </c>
      <c r="J154" s="93">
        <f>J159+J161</f>
        <v>83.977664000000004</v>
      </c>
      <c r="K154" s="93">
        <f>K159+K161</f>
        <v>86.04978208</v>
      </c>
      <c r="L154" s="93">
        <f>L159+L161</f>
        <v>88.179591584000008</v>
      </c>
      <c r="M154" s="93">
        <f>M159+M161</f>
        <v>90.36877853353603</v>
      </c>
    </row>
    <row r="155" spans="1:13" x14ac:dyDescent="0.25">
      <c r="A155" s="47"/>
      <c r="B155" s="58" t="s">
        <v>166</v>
      </c>
      <c r="C155" s="47" t="s">
        <v>153</v>
      </c>
      <c r="D155" s="26">
        <f>D77</f>
        <v>1142.5999999999999</v>
      </c>
      <c r="E155" s="26">
        <f t="shared" ref="E155:M155" si="37">SUM(E153:E154)</f>
        <v>1200.5999999999999</v>
      </c>
      <c r="F155" s="26">
        <f t="shared" si="37"/>
        <v>1238.3</v>
      </c>
      <c r="G155" s="26">
        <f t="shared" si="37"/>
        <v>1356.7</v>
      </c>
      <c r="H155" s="26">
        <f t="shared" si="37"/>
        <v>1517.8</v>
      </c>
      <c r="I155" s="93">
        <f t="shared" si="37"/>
        <v>1599.7616</v>
      </c>
      <c r="J155" s="93">
        <f t="shared" si="37"/>
        <v>1683.739264</v>
      </c>
      <c r="K155" s="93">
        <f t="shared" si="37"/>
        <v>1769.7890460799999</v>
      </c>
      <c r="L155" s="93">
        <f t="shared" si="37"/>
        <v>1857.968637664</v>
      </c>
      <c r="M155" s="93">
        <f t="shared" si="37"/>
        <v>1948.337416197536</v>
      </c>
    </row>
    <row r="156" spans="1:13" x14ac:dyDescent="0.25">
      <c r="A156" s="47"/>
      <c r="B156" s="58" t="s">
        <v>168</v>
      </c>
      <c r="C156" s="47" t="s">
        <v>153</v>
      </c>
      <c r="D156" s="26">
        <f>D78</f>
        <v>288.39999999999998</v>
      </c>
      <c r="E156" s="26">
        <f t="shared" ref="E156:M156" si="38">D156+E162</f>
        <v>342</v>
      </c>
      <c r="F156" s="26">
        <f t="shared" si="38"/>
        <v>396.3</v>
      </c>
      <c r="G156" s="26">
        <f t="shared" si="38"/>
        <v>446.2</v>
      </c>
      <c r="H156" s="26">
        <f t="shared" si="38"/>
        <v>500</v>
      </c>
      <c r="I156" s="93">
        <f t="shared" si="38"/>
        <v>555.97900000000004</v>
      </c>
      <c r="J156" s="93">
        <f t="shared" si="38"/>
        <v>613.38704300000006</v>
      </c>
      <c r="K156" s="93">
        <f t="shared" si="38"/>
        <v>672.25641515500001</v>
      </c>
      <c r="L156" s="93">
        <f t="shared" si="38"/>
        <v>732.62070985587502</v>
      </c>
      <c r="M156" s="93">
        <f t="shared" si="38"/>
        <v>794.51484588532185</v>
      </c>
    </row>
    <row r="157" spans="1:13" x14ac:dyDescent="0.25">
      <c r="A157" s="47"/>
      <c r="B157" s="57" t="s">
        <v>167</v>
      </c>
      <c r="C157" s="47" t="s">
        <v>153</v>
      </c>
      <c r="D157" s="26">
        <f t="shared" ref="D157:M157" si="39">D155-D156</f>
        <v>854.19999999999993</v>
      </c>
      <c r="E157" s="26">
        <f t="shared" si="39"/>
        <v>858.59999999999991</v>
      </c>
      <c r="F157" s="26">
        <f t="shared" si="39"/>
        <v>842</v>
      </c>
      <c r="G157" s="26">
        <f t="shared" si="39"/>
        <v>910.5</v>
      </c>
      <c r="H157" s="26">
        <f t="shared" si="39"/>
        <v>1017.8</v>
      </c>
      <c r="I157" s="93">
        <f t="shared" si="39"/>
        <v>1043.7826</v>
      </c>
      <c r="J157" s="93">
        <f t="shared" si="39"/>
        <v>1070.3522210000001</v>
      </c>
      <c r="K157" s="93">
        <f t="shared" si="39"/>
        <v>1097.5326309249999</v>
      </c>
      <c r="L157" s="93">
        <f t="shared" si="39"/>
        <v>1125.347927808125</v>
      </c>
      <c r="M157" s="93">
        <f t="shared" si="39"/>
        <v>1153.8225703122141</v>
      </c>
    </row>
    <row r="158" spans="1:13" x14ac:dyDescent="0.25">
      <c r="A158" s="47"/>
      <c r="B158" s="57"/>
      <c r="C158" s="47"/>
      <c r="D158" s="26"/>
      <c r="E158" s="26"/>
      <c r="F158" s="26"/>
      <c r="G158" s="26"/>
      <c r="H158" s="26"/>
      <c r="I158" s="91"/>
      <c r="J158" s="91"/>
      <c r="K158" s="91"/>
      <c r="L158" s="91"/>
      <c r="M158" s="91"/>
    </row>
    <row r="159" spans="1:13" x14ac:dyDescent="0.25">
      <c r="A159" s="47"/>
      <c r="B159" s="57" t="s">
        <v>158</v>
      </c>
      <c r="C159" s="47" t="s">
        <v>153</v>
      </c>
      <c r="D159" s="26"/>
      <c r="E159" s="26">
        <f>E77-D77</f>
        <v>58</v>
      </c>
      <c r="F159" s="26">
        <f>F77-E77</f>
        <v>37.700000000000045</v>
      </c>
      <c r="G159" s="26">
        <f>G77-F77</f>
        <v>118.40000000000009</v>
      </c>
      <c r="H159" s="26">
        <f>H77-G77</f>
        <v>161.09999999999991</v>
      </c>
      <c r="I159" s="93">
        <f>I160*I12</f>
        <v>81.961600000000004</v>
      </c>
      <c r="J159" s="93">
        <f>J160*J12</f>
        <v>83.977664000000004</v>
      </c>
      <c r="K159" s="93">
        <f>K160*K12</f>
        <v>86.04978208</v>
      </c>
      <c r="L159" s="93">
        <f>L160*L12</f>
        <v>88.179591584000008</v>
      </c>
      <c r="M159" s="93">
        <f>M160*M12</f>
        <v>90.36877853353603</v>
      </c>
    </row>
    <row r="160" spans="1:13" x14ac:dyDescent="0.25">
      <c r="A160" s="47"/>
      <c r="B160" s="57" t="s">
        <v>164</v>
      </c>
      <c r="C160" s="47" t="s">
        <v>92</v>
      </c>
      <c r="D160" s="37"/>
      <c r="E160" s="37">
        <f>E159/E12</f>
        <v>7.317688619732525E-2</v>
      </c>
      <c r="F160" s="37">
        <f>F159/F12</f>
        <v>4.7113221694576407E-2</v>
      </c>
      <c r="G160" s="37">
        <f>G159/G12</f>
        <v>0.12542372881355943</v>
      </c>
      <c r="H160" s="37">
        <f>H159/H12</f>
        <v>0.16109999999999991</v>
      </c>
      <c r="I160" s="170">
        <f>Assumptions!I38</f>
        <v>0.08</v>
      </c>
      <c r="J160" s="170">
        <f>Assumptions!J38</f>
        <v>0.08</v>
      </c>
      <c r="K160" s="170">
        <f>Assumptions!K38</f>
        <v>0.08</v>
      </c>
      <c r="L160" s="170">
        <f>Assumptions!L38</f>
        <v>0.08</v>
      </c>
      <c r="M160" s="170">
        <f>Assumptions!M38</f>
        <v>0.08</v>
      </c>
    </row>
    <row r="161" spans="1:13" s="22" customFormat="1" x14ac:dyDescent="0.25">
      <c r="A161" s="47"/>
      <c r="B161" s="57" t="s">
        <v>259</v>
      </c>
      <c r="C161" s="47" t="s">
        <v>153</v>
      </c>
      <c r="D161" s="37"/>
      <c r="E161" s="37"/>
      <c r="F161" s="37"/>
      <c r="G161" s="37"/>
      <c r="H161" s="37"/>
      <c r="I161" s="178">
        <f>Assumptions!I39</f>
        <v>0</v>
      </c>
      <c r="J161" s="178">
        <f>Assumptions!J39</f>
        <v>0</v>
      </c>
      <c r="K161" s="178">
        <f>Assumptions!K39</f>
        <v>0</v>
      </c>
      <c r="L161" s="178">
        <f>Assumptions!L39</f>
        <v>0</v>
      </c>
      <c r="M161" s="178">
        <f>Assumptions!M39</f>
        <v>0</v>
      </c>
    </row>
    <row r="162" spans="1:13" x14ac:dyDescent="0.25">
      <c r="A162" s="47"/>
      <c r="B162" s="57" t="s">
        <v>4</v>
      </c>
      <c r="C162" s="47" t="s">
        <v>153</v>
      </c>
      <c r="D162" s="24"/>
      <c r="E162" s="24">
        <f>E18</f>
        <v>53.6</v>
      </c>
      <c r="F162" s="24">
        <f>F18</f>
        <v>54.3</v>
      </c>
      <c r="G162" s="24">
        <f>G18</f>
        <v>49.9</v>
      </c>
      <c r="H162" s="24">
        <f>H18</f>
        <v>53.8</v>
      </c>
      <c r="I162" s="93">
        <f>I163*H157</f>
        <v>55.978999999999999</v>
      </c>
      <c r="J162" s="93">
        <f>J163*I157</f>
        <v>57.408042999999999</v>
      </c>
      <c r="K162" s="93">
        <f>K163*J157</f>
        <v>58.869372155000008</v>
      </c>
      <c r="L162" s="93">
        <f>L163*K157</f>
        <v>60.364294700874993</v>
      </c>
      <c r="M162" s="93">
        <f>M163*L157</f>
        <v>61.894136029446869</v>
      </c>
    </row>
    <row r="163" spans="1:13" x14ac:dyDescent="0.25">
      <c r="A163" s="47"/>
      <c r="B163" s="57" t="s">
        <v>182</v>
      </c>
      <c r="C163" s="47" t="s">
        <v>92</v>
      </c>
      <c r="D163" s="37"/>
      <c r="E163" s="37">
        <f>E162/E157</f>
        <v>6.2427207081295143E-2</v>
      </c>
      <c r="F163" s="37">
        <f>F162/F157</f>
        <v>6.4489311163895488E-2</v>
      </c>
      <c r="G163" s="37">
        <f>G162/G157</f>
        <v>5.4805052169137836E-2</v>
      </c>
      <c r="H163" s="37">
        <f>H162/H157</f>
        <v>5.2859107879740616E-2</v>
      </c>
      <c r="I163" s="170">
        <f>Assumptions!I40</f>
        <v>5.5E-2</v>
      </c>
      <c r="J163" s="170">
        <f>Assumptions!J40</f>
        <v>5.5E-2</v>
      </c>
      <c r="K163" s="170">
        <f>Assumptions!K40</f>
        <v>5.5E-2</v>
      </c>
      <c r="L163" s="170">
        <f>Assumptions!L40</f>
        <v>5.5E-2</v>
      </c>
      <c r="M163" s="170">
        <f>Assumptions!M40</f>
        <v>5.5E-2</v>
      </c>
    </row>
    <row r="164" spans="1:13" x14ac:dyDescent="0.25">
      <c r="A164" s="47"/>
      <c r="B164" s="55"/>
      <c r="C164" s="47"/>
      <c r="D164" s="24"/>
      <c r="E164" s="24"/>
      <c r="F164" s="24"/>
      <c r="G164" s="24"/>
      <c r="H164" s="24"/>
      <c r="I164" s="91"/>
      <c r="J164" s="91"/>
      <c r="K164" s="91"/>
      <c r="L164" s="91"/>
      <c r="M164" s="91"/>
    </row>
    <row r="165" spans="1:13" x14ac:dyDescent="0.25">
      <c r="A165" s="47"/>
      <c r="B165" s="50" t="s">
        <v>160</v>
      </c>
      <c r="C165" s="47"/>
      <c r="D165" s="24"/>
      <c r="E165" s="24"/>
      <c r="F165" s="24"/>
      <c r="G165" s="24"/>
      <c r="H165" s="24"/>
      <c r="I165" s="91"/>
      <c r="J165" s="91"/>
      <c r="K165" s="91"/>
      <c r="L165" s="91"/>
      <c r="M165" s="91"/>
    </row>
    <row r="166" spans="1:13" x14ac:dyDescent="0.25">
      <c r="A166" s="47"/>
      <c r="B166" s="57" t="s">
        <v>136</v>
      </c>
      <c r="C166" s="47" t="s">
        <v>153</v>
      </c>
      <c r="D166" s="43"/>
      <c r="E166" s="43">
        <f t="shared" ref="E166:M166" si="40">D168</f>
        <v>237.7</v>
      </c>
      <c r="F166" s="43">
        <f t="shared" si="40"/>
        <v>280</v>
      </c>
      <c r="G166" s="43">
        <f t="shared" si="40"/>
        <v>342.9</v>
      </c>
      <c r="H166" s="43">
        <f t="shared" si="40"/>
        <v>435.9</v>
      </c>
      <c r="I166" s="118">
        <f t="shared" si="40"/>
        <v>409</v>
      </c>
      <c r="J166" s="118">
        <f t="shared" si="40"/>
        <v>430.29839999999996</v>
      </c>
      <c r="K166" s="118">
        <f t="shared" si="40"/>
        <v>440.88273600000002</v>
      </c>
      <c r="L166" s="118">
        <f t="shared" si="40"/>
        <v>451.76135592000003</v>
      </c>
      <c r="M166" s="118">
        <f t="shared" si="40"/>
        <v>462.94285581600002</v>
      </c>
    </row>
    <row r="167" spans="1:13" x14ac:dyDescent="0.25">
      <c r="A167" s="47"/>
      <c r="B167" s="58" t="s">
        <v>137</v>
      </c>
      <c r="C167" s="47" t="s">
        <v>153</v>
      </c>
      <c r="D167" s="43"/>
      <c r="E167" s="43">
        <f>E80-D80</f>
        <v>42.300000000000011</v>
      </c>
      <c r="F167" s="43">
        <f>F80-E80</f>
        <v>62.899999999999977</v>
      </c>
      <c r="G167" s="43">
        <f>G80-F80</f>
        <v>93</v>
      </c>
      <c r="H167" s="43">
        <f>H80-G80</f>
        <v>-26.899999999999977</v>
      </c>
      <c r="I167" s="118">
        <f>I168-I166</f>
        <v>21.298399999999958</v>
      </c>
      <c r="J167" s="118">
        <f>J168-J166</f>
        <v>10.584336000000064</v>
      </c>
      <c r="K167" s="118">
        <f>K168-K166</f>
        <v>10.878619920000006</v>
      </c>
      <c r="L167" s="118">
        <f>L168-L166</f>
        <v>11.181499895999991</v>
      </c>
      <c r="M167" s="118">
        <f>M168-M166</f>
        <v>11.493231485064086</v>
      </c>
    </row>
    <row r="168" spans="1:13" x14ac:dyDescent="0.25">
      <c r="A168" s="47"/>
      <c r="B168" s="57" t="s">
        <v>138</v>
      </c>
      <c r="C168" s="47" t="s">
        <v>153</v>
      </c>
      <c r="D168" s="43">
        <f>D80</f>
        <v>237.7</v>
      </c>
      <c r="E168" s="43">
        <f>SUM(E166:E167)</f>
        <v>280</v>
      </c>
      <c r="F168" s="43">
        <f>SUM(F166:F167)</f>
        <v>342.9</v>
      </c>
      <c r="G168" s="43">
        <f>SUM(G166:G167)</f>
        <v>435.9</v>
      </c>
      <c r="H168" s="43">
        <f>SUM(H166:H167)</f>
        <v>409</v>
      </c>
      <c r="I168" s="118">
        <f>I169*I12</f>
        <v>430.29839999999996</v>
      </c>
      <c r="J168" s="118">
        <f>J169*J12</f>
        <v>440.88273600000002</v>
      </c>
      <c r="K168" s="118">
        <f>K169*K12</f>
        <v>451.76135592000003</v>
      </c>
      <c r="L168" s="118">
        <f>L169*L12</f>
        <v>462.94285581600002</v>
      </c>
      <c r="M168" s="118">
        <f>M169*M12</f>
        <v>474.43608730106411</v>
      </c>
    </row>
    <row r="169" spans="1:13" x14ac:dyDescent="0.25">
      <c r="A169" s="47"/>
      <c r="B169" s="57" t="s">
        <v>179</v>
      </c>
      <c r="C169" s="47" t="s">
        <v>92</v>
      </c>
      <c r="D169" s="37">
        <f>D168/D12</f>
        <v>0.31756847027388108</v>
      </c>
      <c r="E169" s="37">
        <f>E168/E12</f>
        <v>0.35326772646984606</v>
      </c>
      <c r="F169" s="37">
        <f>F168/F12</f>
        <v>0.42851787053236684</v>
      </c>
      <c r="G169" s="37">
        <f>G168/G12</f>
        <v>0.46175847457627117</v>
      </c>
      <c r="H169" s="37">
        <f>H168/H12</f>
        <v>0.40899999999999997</v>
      </c>
      <c r="I169" s="170">
        <f>Assumptions!I41</f>
        <v>0.42</v>
      </c>
      <c r="J169" s="170">
        <f>Assumptions!J41</f>
        <v>0.42</v>
      </c>
      <c r="K169" s="170">
        <f>Assumptions!K41</f>
        <v>0.42</v>
      </c>
      <c r="L169" s="170">
        <f>Assumptions!L41</f>
        <v>0.42</v>
      </c>
      <c r="M169" s="170">
        <f>Assumptions!M41</f>
        <v>0.42</v>
      </c>
    </row>
    <row r="170" spans="1:13" x14ac:dyDescent="0.25">
      <c r="A170" s="47"/>
      <c r="B170" s="57"/>
      <c r="C170" s="47"/>
      <c r="D170" s="43"/>
      <c r="E170" s="43"/>
      <c r="F170" s="43"/>
      <c r="G170" s="43"/>
      <c r="H170" s="43"/>
      <c r="I170" s="91"/>
      <c r="J170" s="91"/>
      <c r="K170" s="91"/>
      <c r="L170" s="91"/>
      <c r="M170" s="91"/>
    </row>
    <row r="171" spans="1:13" x14ac:dyDescent="0.25">
      <c r="A171" s="47"/>
      <c r="B171" s="59"/>
      <c r="C171" s="47"/>
      <c r="D171" s="24"/>
      <c r="E171" s="24"/>
      <c r="F171" s="24"/>
      <c r="G171" s="24"/>
      <c r="H171" s="24"/>
      <c r="I171" s="91"/>
      <c r="J171" s="91"/>
      <c r="K171" s="91"/>
      <c r="L171" s="91"/>
      <c r="M171" s="91"/>
    </row>
    <row r="172" spans="1:13" x14ac:dyDescent="0.25">
      <c r="A172" s="50" t="s">
        <v>161</v>
      </c>
      <c r="B172" s="55"/>
      <c r="C172" s="47"/>
      <c r="D172" s="24"/>
      <c r="E172" s="24"/>
      <c r="F172" s="24"/>
      <c r="G172" s="24"/>
      <c r="H172" s="24"/>
      <c r="I172" s="91"/>
      <c r="J172" s="91"/>
      <c r="K172" s="91"/>
      <c r="L172" s="91"/>
      <c r="M172" s="91"/>
    </row>
    <row r="173" spans="1:13" x14ac:dyDescent="0.25">
      <c r="A173" s="52"/>
      <c r="B173" s="62" t="str">
        <f>B9</f>
        <v>Fiscal year</v>
      </c>
      <c r="C173" s="66"/>
      <c r="D173" s="86">
        <f t="shared" ref="D173:M173" si="41">D9</f>
        <v>2016</v>
      </c>
      <c r="E173" s="86">
        <f t="shared" si="41"/>
        <v>2017</v>
      </c>
      <c r="F173" s="86">
        <f t="shared" si="41"/>
        <v>2018</v>
      </c>
      <c r="G173" s="86">
        <f t="shared" si="41"/>
        <v>2019</v>
      </c>
      <c r="H173" s="86">
        <f t="shared" si="41"/>
        <v>2020</v>
      </c>
      <c r="I173" s="116">
        <f t="shared" si="41"/>
        <v>2021</v>
      </c>
      <c r="J173" s="116">
        <f t="shared" si="41"/>
        <v>2022</v>
      </c>
      <c r="K173" s="116">
        <f t="shared" si="41"/>
        <v>2023</v>
      </c>
      <c r="L173" s="116">
        <f t="shared" si="41"/>
        <v>2024</v>
      </c>
      <c r="M173" s="116">
        <f t="shared" si="41"/>
        <v>2025</v>
      </c>
    </row>
    <row r="174" spans="1:13" x14ac:dyDescent="0.25">
      <c r="A174" s="56"/>
      <c r="B174" s="64" t="str">
        <f>B10</f>
        <v>Fiscal year end date</v>
      </c>
      <c r="C174" s="64" t="str">
        <f>C10</f>
        <v>Units</v>
      </c>
      <c r="D174" s="42">
        <f t="shared" ref="D174:M174" si="42">D10</f>
        <v>42643</v>
      </c>
      <c r="E174" s="42">
        <f t="shared" si="42"/>
        <v>43008</v>
      </c>
      <c r="F174" s="42">
        <f t="shared" si="42"/>
        <v>43373</v>
      </c>
      <c r="G174" s="42">
        <f t="shared" si="42"/>
        <v>43738</v>
      </c>
      <c r="H174" s="42">
        <f t="shared" si="42"/>
        <v>44103</v>
      </c>
      <c r="I174" s="117">
        <f t="shared" si="42"/>
        <v>44469</v>
      </c>
      <c r="J174" s="117">
        <f t="shared" si="42"/>
        <v>44834</v>
      </c>
      <c r="K174" s="117">
        <f t="shared" si="42"/>
        <v>45199</v>
      </c>
      <c r="L174" s="117">
        <f t="shared" si="42"/>
        <v>45565</v>
      </c>
      <c r="M174" s="117">
        <f t="shared" si="42"/>
        <v>45930</v>
      </c>
    </row>
    <row r="175" spans="1:13" x14ac:dyDescent="0.25">
      <c r="A175" s="47"/>
      <c r="B175" s="59"/>
      <c r="C175" s="47"/>
      <c r="D175" s="24"/>
      <c r="E175" s="24"/>
      <c r="F175" s="24"/>
      <c r="G175" s="24"/>
      <c r="H175" s="24"/>
      <c r="I175" s="91"/>
      <c r="J175" s="91"/>
      <c r="K175" s="91"/>
      <c r="L175" s="91"/>
      <c r="M175" s="91"/>
    </row>
    <row r="176" spans="1:13" x14ac:dyDescent="0.25">
      <c r="A176" s="47"/>
      <c r="B176" s="67" t="s">
        <v>147</v>
      </c>
      <c r="C176" s="47"/>
      <c r="D176" s="24"/>
      <c r="E176" s="24"/>
      <c r="F176" s="24"/>
      <c r="G176" s="24"/>
      <c r="H176" s="24"/>
      <c r="I176" s="91"/>
      <c r="J176" s="91"/>
      <c r="K176" s="91"/>
      <c r="L176" s="91"/>
      <c r="M176" s="91"/>
    </row>
    <row r="177" spans="1:15" x14ac:dyDescent="0.25">
      <c r="A177" s="47"/>
      <c r="B177" s="57" t="s">
        <v>136</v>
      </c>
      <c r="C177" s="47" t="s">
        <v>153</v>
      </c>
      <c r="D177" s="26"/>
      <c r="E177" s="26">
        <f t="shared" ref="E177:M177" si="43">D179</f>
        <v>31.4</v>
      </c>
      <c r="F177" s="26">
        <f t="shared" si="43"/>
        <v>26.7</v>
      </c>
      <c r="G177" s="26">
        <f t="shared" si="43"/>
        <v>21.8</v>
      </c>
      <c r="H177" s="26">
        <f t="shared" si="43"/>
        <v>35.6</v>
      </c>
      <c r="I177" s="93">
        <f t="shared" si="43"/>
        <v>73.3</v>
      </c>
      <c r="J177" s="93">
        <f t="shared" si="43"/>
        <v>73.3</v>
      </c>
      <c r="K177" s="93">
        <f t="shared" si="43"/>
        <v>73.3</v>
      </c>
      <c r="L177" s="93">
        <f t="shared" si="43"/>
        <v>73.3</v>
      </c>
      <c r="M177" s="93">
        <f t="shared" si="43"/>
        <v>73.3</v>
      </c>
    </row>
    <row r="178" spans="1:15" x14ac:dyDescent="0.25">
      <c r="A178" s="47"/>
      <c r="B178" s="57" t="s">
        <v>148</v>
      </c>
      <c r="C178" s="47" t="s">
        <v>153</v>
      </c>
      <c r="D178" s="26"/>
      <c r="E178" s="26">
        <f>E88-D88</f>
        <v>-4.6999999999999993</v>
      </c>
      <c r="F178" s="26">
        <f>F88-E88</f>
        <v>-4.8999999999999986</v>
      </c>
      <c r="G178" s="26">
        <f>G88-F88</f>
        <v>13.8</v>
      </c>
      <c r="H178" s="26">
        <f>H88-G88</f>
        <v>37.699999999999996</v>
      </c>
      <c r="I178" s="178">
        <f>Assumptions!I43</f>
        <v>0</v>
      </c>
      <c r="J178" s="178">
        <f>Assumptions!J43</f>
        <v>0</v>
      </c>
      <c r="K178" s="178">
        <f>Assumptions!K43</f>
        <v>0</v>
      </c>
      <c r="L178" s="178">
        <f>Assumptions!L43</f>
        <v>0</v>
      </c>
      <c r="M178" s="178">
        <f>Assumptions!M43</f>
        <v>0</v>
      </c>
    </row>
    <row r="179" spans="1:15" x14ac:dyDescent="0.25">
      <c r="A179" s="47"/>
      <c r="B179" s="57" t="s">
        <v>138</v>
      </c>
      <c r="C179" s="47" t="s">
        <v>153</v>
      </c>
      <c r="D179" s="26">
        <f>D88</f>
        <v>31.4</v>
      </c>
      <c r="E179" s="26">
        <f>SUM(E177:E178)</f>
        <v>26.7</v>
      </c>
      <c r="F179" s="26">
        <f>SUM(F177:F178)</f>
        <v>21.8</v>
      </c>
      <c r="G179" s="26">
        <f>SUM(G177:G178)</f>
        <v>35.6</v>
      </c>
      <c r="H179" s="26">
        <f>SUM(H177:H178)</f>
        <v>73.3</v>
      </c>
      <c r="I179" s="93">
        <f>I177+I178</f>
        <v>73.3</v>
      </c>
      <c r="J179" s="93">
        <f>J177+J178</f>
        <v>73.3</v>
      </c>
      <c r="K179" s="93">
        <f>K177+K178</f>
        <v>73.3</v>
      </c>
      <c r="L179" s="93">
        <f>L177+L178</f>
        <v>73.3</v>
      </c>
      <c r="M179" s="93">
        <f>M177+M178</f>
        <v>73.3</v>
      </c>
    </row>
    <row r="180" spans="1:15" x14ac:dyDescent="0.25">
      <c r="A180" s="47"/>
      <c r="B180" s="57"/>
      <c r="C180" s="47"/>
      <c r="D180" s="26"/>
      <c r="E180" s="26"/>
      <c r="F180" s="26"/>
      <c r="G180" s="26"/>
      <c r="H180" s="26"/>
      <c r="I180" s="91"/>
      <c r="J180" s="91"/>
      <c r="K180" s="91"/>
      <c r="L180" s="91"/>
      <c r="M180" s="91"/>
    </row>
    <row r="181" spans="1:15" x14ac:dyDescent="0.25">
      <c r="A181" s="47"/>
      <c r="B181" s="68" t="s">
        <v>185</v>
      </c>
      <c r="C181" s="47" t="s">
        <v>92</v>
      </c>
      <c r="D181" s="24"/>
      <c r="E181" s="24"/>
      <c r="F181" s="24"/>
      <c r="G181" s="24"/>
      <c r="H181" s="24"/>
      <c r="I181" s="174">
        <f>Assumptions!I44</f>
        <v>0.04</v>
      </c>
      <c r="J181" s="174">
        <f>Assumptions!J44</f>
        <v>0.04</v>
      </c>
      <c r="K181" s="174">
        <f>Assumptions!K44</f>
        <v>0.04</v>
      </c>
      <c r="L181" s="174">
        <f>Assumptions!L44</f>
        <v>0.04</v>
      </c>
      <c r="M181" s="174">
        <f>Assumptions!M44</f>
        <v>0.04</v>
      </c>
      <c r="N181" s="22"/>
      <c r="O181" s="22"/>
    </row>
    <row r="182" spans="1:15" x14ac:dyDescent="0.25">
      <c r="A182" s="47"/>
      <c r="B182" s="57" t="s">
        <v>181</v>
      </c>
      <c r="C182" s="47" t="s">
        <v>153</v>
      </c>
      <c r="D182" s="24"/>
      <c r="E182" s="24"/>
      <c r="F182" s="24"/>
      <c r="G182" s="24"/>
      <c r="H182" s="24"/>
      <c r="I182" s="93">
        <f>IF($C$6 ="OFF",I181*(H179+I179)/2,I181*H179)</f>
        <v>2.9319999999999999</v>
      </c>
      <c r="J182" s="93">
        <f>IF($C$6 ="OFF",J181*(I179+J179)/2,J181*I179)</f>
        <v>2.9319999999999999</v>
      </c>
      <c r="K182" s="93">
        <f>IF($C$6 ="OFF",K181*(J179+K179)/2,K181*J179)</f>
        <v>2.9319999999999999</v>
      </c>
      <c r="L182" s="93">
        <f>IF($C$6 ="OFF",L181*(K179+L179)/2,L181*K179)</f>
        <v>2.9319999999999999</v>
      </c>
      <c r="M182" s="93">
        <f>IF($C$6 ="OFF",M181*(L179+M179)/2,M181*L179)</f>
        <v>2.9319999999999999</v>
      </c>
    </row>
    <row r="183" spans="1:15" x14ac:dyDescent="0.25">
      <c r="A183" s="47"/>
      <c r="B183" s="57"/>
      <c r="C183" s="47"/>
      <c r="D183" s="24"/>
      <c r="E183" s="24"/>
      <c r="F183" s="24"/>
      <c r="G183" s="24"/>
      <c r="H183" s="24"/>
      <c r="I183" s="91"/>
      <c r="J183" s="91"/>
      <c r="K183" s="91"/>
      <c r="L183" s="91"/>
      <c r="M183" s="91"/>
    </row>
    <row r="184" spans="1:15" x14ac:dyDescent="0.25">
      <c r="A184" s="47"/>
      <c r="B184" s="69" t="s">
        <v>162</v>
      </c>
      <c r="C184" s="47"/>
      <c r="D184" s="24"/>
      <c r="E184" s="24"/>
      <c r="F184" s="24"/>
      <c r="G184" s="24"/>
      <c r="H184" s="24"/>
      <c r="I184" s="91"/>
      <c r="J184" s="91"/>
      <c r="K184" s="91"/>
      <c r="L184" s="91"/>
      <c r="M184" s="91"/>
    </row>
    <row r="185" spans="1:15" x14ac:dyDescent="0.25">
      <c r="A185" s="47"/>
      <c r="B185" s="57" t="s">
        <v>136</v>
      </c>
      <c r="C185" s="47" t="s">
        <v>153</v>
      </c>
      <c r="D185" s="38"/>
      <c r="E185" s="38">
        <f t="shared" ref="E185:M185" si="44">D187</f>
        <v>42.6</v>
      </c>
      <c r="F185" s="38">
        <f t="shared" si="44"/>
        <v>33.299999999999997</v>
      </c>
      <c r="G185" s="38">
        <f t="shared" si="44"/>
        <v>21.5</v>
      </c>
      <c r="H185" s="38">
        <f t="shared" si="44"/>
        <v>0</v>
      </c>
      <c r="I185" s="112">
        <f t="shared" si="44"/>
        <v>0</v>
      </c>
      <c r="J185" s="112">
        <f t="shared" si="44"/>
        <v>0</v>
      </c>
      <c r="K185" s="112">
        <f t="shared" si="44"/>
        <v>0</v>
      </c>
      <c r="L185" s="112">
        <f t="shared" si="44"/>
        <v>0</v>
      </c>
      <c r="M185" s="112">
        <f t="shared" si="44"/>
        <v>0</v>
      </c>
    </row>
    <row r="186" spans="1:15" x14ac:dyDescent="0.25">
      <c r="A186" s="47"/>
      <c r="B186" s="58" t="s">
        <v>137</v>
      </c>
      <c r="C186" s="47" t="s">
        <v>153</v>
      </c>
      <c r="D186" s="38"/>
      <c r="E186" s="38">
        <f>E89-D89</f>
        <v>-9.3000000000000043</v>
      </c>
      <c r="F186" s="38">
        <f>F89-E89</f>
        <v>-11.799999999999997</v>
      </c>
      <c r="G186" s="38">
        <f>G89-F89</f>
        <v>-21.5</v>
      </c>
      <c r="H186" s="38">
        <f>H89-G89</f>
        <v>0</v>
      </c>
      <c r="I186" s="181">
        <f>Assumptions!I46</f>
        <v>0</v>
      </c>
      <c r="J186" s="181">
        <f>Assumptions!J46</f>
        <v>0</v>
      </c>
      <c r="K186" s="181">
        <f>Assumptions!K46</f>
        <v>0</v>
      </c>
      <c r="L186" s="181">
        <f>Assumptions!L46</f>
        <v>0</v>
      </c>
      <c r="M186" s="181">
        <f>Assumptions!M46</f>
        <v>0</v>
      </c>
    </row>
    <row r="187" spans="1:15" x14ac:dyDescent="0.25">
      <c r="A187" s="47"/>
      <c r="B187" s="57" t="s">
        <v>138</v>
      </c>
      <c r="C187" s="47" t="s">
        <v>153</v>
      </c>
      <c r="D187" s="38">
        <f>D89</f>
        <v>42.6</v>
      </c>
      <c r="E187" s="38">
        <f t="shared" ref="E187:M187" si="45">SUM(E185:E186)</f>
        <v>33.299999999999997</v>
      </c>
      <c r="F187" s="38">
        <f t="shared" si="45"/>
        <v>21.5</v>
      </c>
      <c r="G187" s="38">
        <f t="shared" si="45"/>
        <v>0</v>
      </c>
      <c r="H187" s="38">
        <f t="shared" si="45"/>
        <v>0</v>
      </c>
      <c r="I187" s="112">
        <f t="shared" si="45"/>
        <v>0</v>
      </c>
      <c r="J187" s="112">
        <f t="shared" si="45"/>
        <v>0</v>
      </c>
      <c r="K187" s="112">
        <f t="shared" si="45"/>
        <v>0</v>
      </c>
      <c r="L187" s="112">
        <f t="shared" si="45"/>
        <v>0</v>
      </c>
      <c r="M187" s="112">
        <f t="shared" si="45"/>
        <v>0</v>
      </c>
    </row>
    <row r="188" spans="1:15" x14ac:dyDescent="0.25">
      <c r="A188" s="47"/>
      <c r="B188" s="55"/>
      <c r="C188" s="47"/>
      <c r="D188" s="24"/>
      <c r="E188" s="24"/>
      <c r="F188" s="24"/>
      <c r="G188" s="24"/>
      <c r="H188" s="24"/>
      <c r="I188" s="91"/>
      <c r="J188" s="91"/>
      <c r="K188" s="91"/>
      <c r="L188" s="91"/>
      <c r="M188" s="91"/>
    </row>
    <row r="189" spans="1:15" x14ac:dyDescent="0.25">
      <c r="A189" s="53" t="s">
        <v>163</v>
      </c>
      <c r="B189" s="47"/>
      <c r="C189" s="47"/>
      <c r="D189" s="24"/>
      <c r="E189" s="24"/>
      <c r="F189" s="24"/>
      <c r="G189" s="24"/>
      <c r="H189" s="24"/>
      <c r="I189" s="91"/>
      <c r="J189" s="91"/>
      <c r="K189" s="91"/>
      <c r="L189" s="91"/>
      <c r="M189" s="91"/>
    </row>
    <row r="190" spans="1:15" x14ac:dyDescent="0.25">
      <c r="A190" s="52"/>
      <c r="B190" s="61" t="str">
        <f>B9</f>
        <v>Fiscal year</v>
      </c>
      <c r="C190" s="61"/>
      <c r="D190" s="75">
        <f t="shared" ref="D190:M190" si="46">D9</f>
        <v>2016</v>
      </c>
      <c r="E190" s="75">
        <f t="shared" si="46"/>
        <v>2017</v>
      </c>
      <c r="F190" s="75">
        <f t="shared" si="46"/>
        <v>2018</v>
      </c>
      <c r="G190" s="75">
        <f t="shared" si="46"/>
        <v>2019</v>
      </c>
      <c r="H190" s="75">
        <f t="shared" si="46"/>
        <v>2020</v>
      </c>
      <c r="I190" s="106">
        <f t="shared" si="46"/>
        <v>2021</v>
      </c>
      <c r="J190" s="106">
        <f t="shared" si="46"/>
        <v>2022</v>
      </c>
      <c r="K190" s="106">
        <f t="shared" si="46"/>
        <v>2023</v>
      </c>
      <c r="L190" s="106">
        <f t="shared" si="46"/>
        <v>2024</v>
      </c>
      <c r="M190" s="106">
        <f t="shared" si="46"/>
        <v>2025</v>
      </c>
    </row>
    <row r="191" spans="1:15" x14ac:dyDescent="0.25">
      <c r="A191" s="56"/>
      <c r="B191" s="63" t="str">
        <f>B10</f>
        <v>Fiscal year end date</v>
      </c>
      <c r="C191" s="63" t="str">
        <f>C10</f>
        <v>Units</v>
      </c>
      <c r="D191" s="44">
        <f t="shared" ref="D191:M191" si="47">D10</f>
        <v>42643</v>
      </c>
      <c r="E191" s="44">
        <f t="shared" si="47"/>
        <v>43008</v>
      </c>
      <c r="F191" s="44">
        <f t="shared" si="47"/>
        <v>43373</v>
      </c>
      <c r="G191" s="44">
        <f t="shared" si="47"/>
        <v>43738</v>
      </c>
      <c r="H191" s="44">
        <f t="shared" si="47"/>
        <v>44103</v>
      </c>
      <c r="I191" s="119">
        <f t="shared" si="47"/>
        <v>44469</v>
      </c>
      <c r="J191" s="119">
        <f t="shared" si="47"/>
        <v>44834</v>
      </c>
      <c r="K191" s="119">
        <f t="shared" si="47"/>
        <v>45199</v>
      </c>
      <c r="L191" s="119">
        <f t="shared" si="47"/>
        <v>45565</v>
      </c>
      <c r="M191" s="119">
        <f t="shared" si="47"/>
        <v>45930</v>
      </c>
    </row>
    <row r="192" spans="1:15" x14ac:dyDescent="0.25">
      <c r="A192" s="47"/>
      <c r="B192" s="59"/>
      <c r="C192" s="47"/>
      <c r="D192" s="24"/>
      <c r="E192" s="24"/>
      <c r="F192" s="24"/>
      <c r="G192" s="24"/>
      <c r="H192" s="24"/>
      <c r="I192" s="91"/>
      <c r="J192" s="91"/>
      <c r="K192" s="91"/>
      <c r="L192" s="91"/>
      <c r="M192" s="91"/>
    </row>
    <row r="193" spans="1:13" x14ac:dyDescent="0.25">
      <c r="A193" s="47"/>
      <c r="B193" s="53" t="s">
        <v>165</v>
      </c>
      <c r="C193" s="47"/>
      <c r="D193" s="24"/>
      <c r="E193" s="24"/>
      <c r="F193" s="24"/>
      <c r="G193" s="24"/>
      <c r="H193" s="24"/>
      <c r="I193" s="91"/>
      <c r="J193" s="91"/>
      <c r="K193" s="91"/>
      <c r="L193" s="91"/>
      <c r="M193" s="91"/>
    </row>
    <row r="194" spans="1:13" x14ac:dyDescent="0.25">
      <c r="A194" s="47"/>
      <c r="B194" s="57" t="s">
        <v>136</v>
      </c>
      <c r="C194" s="47" t="s">
        <v>153</v>
      </c>
      <c r="D194" s="26"/>
      <c r="E194" s="26">
        <f t="shared" ref="E194:M194" si="48">D196</f>
        <v>100</v>
      </c>
      <c r="F194" s="26">
        <f t="shared" si="48"/>
        <v>100</v>
      </c>
      <c r="G194" s="26">
        <f t="shared" si="48"/>
        <v>100</v>
      </c>
      <c r="H194" s="26">
        <f t="shared" si="48"/>
        <v>100</v>
      </c>
      <c r="I194" s="93">
        <f t="shared" si="48"/>
        <v>100</v>
      </c>
      <c r="J194" s="93">
        <f t="shared" si="48"/>
        <v>100</v>
      </c>
      <c r="K194" s="93">
        <f t="shared" si="48"/>
        <v>100</v>
      </c>
      <c r="L194" s="93">
        <f t="shared" si="48"/>
        <v>100</v>
      </c>
      <c r="M194" s="93">
        <f t="shared" si="48"/>
        <v>100</v>
      </c>
    </row>
    <row r="195" spans="1:13" x14ac:dyDescent="0.25">
      <c r="A195" s="47"/>
      <c r="B195" s="58" t="s">
        <v>195</v>
      </c>
      <c r="C195" s="47" t="s">
        <v>153</v>
      </c>
      <c r="D195" s="26"/>
      <c r="E195" s="26">
        <f>E91-D91</f>
        <v>0</v>
      </c>
      <c r="F195" s="26">
        <f>F91-E91</f>
        <v>0</v>
      </c>
      <c r="G195" s="26">
        <f>G91-F91</f>
        <v>0</v>
      </c>
      <c r="H195" s="26">
        <f>H91-G91</f>
        <v>0</v>
      </c>
      <c r="I195" s="95">
        <f>I210*I205</f>
        <v>0</v>
      </c>
      <c r="J195" s="95">
        <f>J210*J205</f>
        <v>0</v>
      </c>
      <c r="K195" s="95">
        <f>K210*K205</f>
        <v>0</v>
      </c>
      <c r="L195" s="95">
        <f>L210*L205</f>
        <v>0</v>
      </c>
      <c r="M195" s="95">
        <f>M210*M205</f>
        <v>0</v>
      </c>
    </row>
    <row r="196" spans="1:13" x14ac:dyDescent="0.25">
      <c r="A196" s="47"/>
      <c r="B196" s="57" t="s">
        <v>138</v>
      </c>
      <c r="C196" s="47" t="s">
        <v>153</v>
      </c>
      <c r="D196" s="26">
        <f>D91</f>
        <v>100</v>
      </c>
      <c r="E196" s="26">
        <f t="shared" ref="E196:M196" si="49">SUM(E194:E195)</f>
        <v>100</v>
      </c>
      <c r="F196" s="26">
        <f t="shared" si="49"/>
        <v>100</v>
      </c>
      <c r="G196" s="26">
        <f t="shared" si="49"/>
        <v>100</v>
      </c>
      <c r="H196" s="26">
        <f t="shared" si="49"/>
        <v>100</v>
      </c>
      <c r="I196" s="93">
        <f t="shared" si="49"/>
        <v>100</v>
      </c>
      <c r="J196" s="93">
        <f t="shared" si="49"/>
        <v>100</v>
      </c>
      <c r="K196" s="93">
        <f t="shared" si="49"/>
        <v>100</v>
      </c>
      <c r="L196" s="93">
        <f t="shared" si="49"/>
        <v>100</v>
      </c>
      <c r="M196" s="93">
        <f t="shared" si="49"/>
        <v>100</v>
      </c>
    </row>
    <row r="197" spans="1:13" x14ac:dyDescent="0.25">
      <c r="A197" s="47"/>
      <c r="B197" s="55"/>
      <c r="C197" s="47"/>
      <c r="D197" s="24"/>
      <c r="E197" s="24"/>
      <c r="F197" s="24"/>
      <c r="G197" s="24"/>
      <c r="H197" s="24"/>
      <c r="I197" s="91"/>
      <c r="J197" s="91"/>
      <c r="K197" s="91"/>
      <c r="L197" s="91"/>
      <c r="M197" s="91"/>
    </row>
    <row r="198" spans="1:13" x14ac:dyDescent="0.25">
      <c r="A198" s="47"/>
      <c r="B198" s="50" t="s">
        <v>8</v>
      </c>
      <c r="C198" s="47"/>
      <c r="D198" s="24"/>
      <c r="E198" s="24"/>
      <c r="F198" s="24"/>
      <c r="G198" s="24"/>
      <c r="H198" s="24"/>
      <c r="I198" s="91"/>
      <c r="J198" s="91"/>
      <c r="K198" s="91"/>
      <c r="L198" s="91"/>
      <c r="M198" s="91"/>
    </row>
    <row r="199" spans="1:13" x14ac:dyDescent="0.25">
      <c r="A199" s="47"/>
      <c r="B199" s="57" t="s">
        <v>136</v>
      </c>
      <c r="C199" s="47" t="s">
        <v>153</v>
      </c>
      <c r="D199" s="26"/>
      <c r="E199" s="26">
        <f t="shared" ref="E199:M199" si="50">D202</f>
        <v>1165.0999999999999</v>
      </c>
      <c r="F199" s="26">
        <f t="shared" si="50"/>
        <v>1214</v>
      </c>
      <c r="G199" s="26">
        <f t="shared" si="50"/>
        <v>1242.6000000000001</v>
      </c>
      <c r="H199" s="26">
        <f t="shared" si="50"/>
        <v>1279.8000000000002</v>
      </c>
      <c r="I199" s="93">
        <f t="shared" si="50"/>
        <v>1330.9</v>
      </c>
      <c r="J199" s="93">
        <f t="shared" si="50"/>
        <v>1384.0947316000002</v>
      </c>
      <c r="K199" s="93">
        <f t="shared" si="50"/>
        <v>1454.301731344</v>
      </c>
      <c r="L199" s="93">
        <f t="shared" si="50"/>
        <v>1526.2617429836801</v>
      </c>
      <c r="M199" s="93">
        <f t="shared" si="50"/>
        <v>1600.023573463744</v>
      </c>
    </row>
    <row r="200" spans="1:13" x14ac:dyDescent="0.25">
      <c r="A200" s="47"/>
      <c r="B200" s="58" t="s">
        <v>149</v>
      </c>
      <c r="C200" s="47" t="s">
        <v>153</v>
      </c>
      <c r="D200" s="26"/>
      <c r="E200" s="26">
        <f t="shared" ref="E200:M200" si="51">E25</f>
        <v>81.500000000000057</v>
      </c>
      <c r="F200" s="26">
        <f t="shared" si="51"/>
        <v>71.700000000000045</v>
      </c>
      <c r="G200" s="26">
        <f t="shared" si="51"/>
        <v>92.999999999999943</v>
      </c>
      <c r="H200" s="26">
        <f t="shared" si="51"/>
        <v>127.79999999999993</v>
      </c>
      <c r="I200" s="93">
        <f t="shared" si="51"/>
        <v>113.18027999999998</v>
      </c>
      <c r="J200" s="93">
        <f t="shared" si="51"/>
        <v>149.3765952</v>
      </c>
      <c r="K200" s="93">
        <f t="shared" si="51"/>
        <v>153.10640774399999</v>
      </c>
      <c r="L200" s="93">
        <f t="shared" si="51"/>
        <v>156.94006485120002</v>
      </c>
      <c r="M200" s="93">
        <f t="shared" si="51"/>
        <v>160.88060136036484</v>
      </c>
    </row>
    <row r="201" spans="1:13" x14ac:dyDescent="0.25">
      <c r="A201" s="47"/>
      <c r="B201" s="58" t="s">
        <v>150</v>
      </c>
      <c r="C201" s="47" t="s">
        <v>153</v>
      </c>
      <c r="D201" s="26"/>
      <c r="E201" s="26">
        <f t="shared" ref="E201:M201" si="52">E27</f>
        <v>32.6</v>
      </c>
      <c r="F201" s="26">
        <f t="shared" si="52"/>
        <v>43.1</v>
      </c>
      <c r="G201" s="26">
        <f t="shared" si="52"/>
        <v>55.8</v>
      </c>
      <c r="H201" s="26">
        <f t="shared" si="52"/>
        <v>76.7</v>
      </c>
      <c r="I201" s="93">
        <f t="shared" si="52"/>
        <v>59.985548399999992</v>
      </c>
      <c r="J201" s="93">
        <f t="shared" si="52"/>
        <v>79.169595455999996</v>
      </c>
      <c r="K201" s="93">
        <f t="shared" si="52"/>
        <v>81.146396104320004</v>
      </c>
      <c r="L201" s="93">
        <f t="shared" si="52"/>
        <v>83.178234371136014</v>
      </c>
      <c r="M201" s="93">
        <f t="shared" si="52"/>
        <v>85.266718720993367</v>
      </c>
    </row>
    <row r="202" spans="1:13" x14ac:dyDescent="0.25">
      <c r="A202" s="47"/>
      <c r="B202" s="57" t="s">
        <v>138</v>
      </c>
      <c r="C202" s="47" t="s">
        <v>153</v>
      </c>
      <c r="D202" s="26">
        <f>D92</f>
        <v>1165.0999999999999</v>
      </c>
      <c r="E202" s="26">
        <f t="shared" ref="E202:M202" si="53">E199+E200-E201</f>
        <v>1214</v>
      </c>
      <c r="F202" s="26">
        <f t="shared" si="53"/>
        <v>1242.6000000000001</v>
      </c>
      <c r="G202" s="26">
        <f t="shared" si="53"/>
        <v>1279.8000000000002</v>
      </c>
      <c r="H202" s="26">
        <f t="shared" si="53"/>
        <v>1330.9</v>
      </c>
      <c r="I202" s="93">
        <f t="shared" si="53"/>
        <v>1384.0947316000002</v>
      </c>
      <c r="J202" s="93">
        <f t="shared" si="53"/>
        <v>1454.301731344</v>
      </c>
      <c r="K202" s="93">
        <f t="shared" si="53"/>
        <v>1526.2617429836801</v>
      </c>
      <c r="L202" s="93">
        <f t="shared" si="53"/>
        <v>1600.023573463744</v>
      </c>
      <c r="M202" s="93">
        <f t="shared" si="53"/>
        <v>1675.6374561031155</v>
      </c>
    </row>
    <row r="203" spans="1:13" s="22" customFormat="1" x14ac:dyDescent="0.25">
      <c r="A203" s="47"/>
      <c r="B203" s="57"/>
      <c r="C203" s="47"/>
      <c r="D203" s="26"/>
      <c r="E203" s="26"/>
      <c r="F203" s="26"/>
      <c r="G203" s="26"/>
      <c r="H203" s="26"/>
      <c r="I203" s="93"/>
      <c r="J203" s="93"/>
      <c r="K203" s="93"/>
      <c r="L203" s="93"/>
      <c r="M203" s="93"/>
    </row>
    <row r="204" spans="1:13" s="22" customFormat="1" x14ac:dyDescent="0.25">
      <c r="A204" s="47"/>
      <c r="B204" s="50" t="s">
        <v>43</v>
      </c>
      <c r="C204" s="47"/>
      <c r="D204" s="24"/>
      <c r="E204" s="24"/>
      <c r="F204" s="24"/>
      <c r="G204" s="24"/>
      <c r="H204" s="24"/>
      <c r="I204" s="91"/>
      <c r="J204" s="91"/>
      <c r="K204" s="91"/>
      <c r="L204" s="91"/>
      <c r="M204" s="91"/>
    </row>
    <row r="205" spans="1:13" s="22" customFormat="1" x14ac:dyDescent="0.25">
      <c r="A205" s="47"/>
      <c r="B205" s="47" t="s">
        <v>196</v>
      </c>
      <c r="C205" s="47" t="s">
        <v>81</v>
      </c>
      <c r="D205" s="83">
        <v>120.2</v>
      </c>
      <c r="E205" s="83">
        <v>119.7</v>
      </c>
      <c r="F205" s="83">
        <v>127.55</v>
      </c>
      <c r="G205" s="83">
        <v>130.80000000000001</v>
      </c>
      <c r="H205" s="83">
        <v>155.85</v>
      </c>
      <c r="I205" s="120">
        <f>I206*I32</f>
        <v>135.81633599999998</v>
      </c>
      <c r="J205" s="120">
        <f>J206*J32</f>
        <v>179.25191424000002</v>
      </c>
      <c r="K205" s="120">
        <f>K206*K32</f>
        <v>183.72768929279999</v>
      </c>
      <c r="L205" s="120">
        <f>L206*L32</f>
        <v>188.32807782144005</v>
      </c>
      <c r="M205" s="120">
        <f>M206*M32</f>
        <v>193.05672163243779</v>
      </c>
    </row>
    <row r="206" spans="1:13" s="22" customFormat="1" x14ac:dyDescent="0.25">
      <c r="A206" s="47"/>
      <c r="B206" s="47" t="s">
        <v>197</v>
      </c>
      <c r="C206" s="47" t="s">
        <v>103</v>
      </c>
      <c r="D206" s="88">
        <f>D205/D32</f>
        <v>22.895238095238106</v>
      </c>
      <c r="E206" s="88">
        <f>E205/E32</f>
        <v>14.687116564417169</v>
      </c>
      <c r="F206" s="88">
        <f>F205/F32</f>
        <v>17.789400278940018</v>
      </c>
      <c r="G206" s="88">
        <f>G205/G32</f>
        <v>14.064516129032269</v>
      </c>
      <c r="H206" s="88">
        <f>H205/H32</f>
        <v>12.194835680751181</v>
      </c>
      <c r="I206" s="183">
        <f>Assumptions!I49</f>
        <v>12</v>
      </c>
      <c r="J206" s="183">
        <f>Assumptions!J49</f>
        <v>12</v>
      </c>
      <c r="K206" s="183">
        <f>Assumptions!K49</f>
        <v>12</v>
      </c>
      <c r="L206" s="183">
        <f>Assumptions!L49</f>
        <v>12</v>
      </c>
      <c r="M206" s="183">
        <f>Assumptions!M49</f>
        <v>12</v>
      </c>
    </row>
    <row r="207" spans="1:13" s="22" customFormat="1" x14ac:dyDescent="0.25">
      <c r="A207" s="47"/>
      <c r="B207" s="57"/>
      <c r="C207" s="47"/>
      <c r="D207" s="26"/>
      <c r="E207" s="26"/>
      <c r="F207" s="26"/>
      <c r="G207" s="26"/>
      <c r="H207" s="26"/>
      <c r="I207" s="93"/>
      <c r="J207" s="93"/>
      <c r="K207" s="93"/>
      <c r="L207" s="93"/>
      <c r="M207" s="93"/>
    </row>
    <row r="208" spans="1:13" s="22" customFormat="1" x14ac:dyDescent="0.25">
      <c r="A208" s="47"/>
      <c r="B208" s="50" t="s">
        <v>191</v>
      </c>
      <c r="C208" s="47"/>
      <c r="D208" s="26"/>
      <c r="E208" s="26"/>
      <c r="F208" s="26"/>
      <c r="G208" s="26"/>
      <c r="H208" s="26"/>
      <c r="I208" s="93"/>
      <c r="J208" s="93"/>
      <c r="K208" s="93"/>
      <c r="L208" s="93"/>
      <c r="M208" s="93"/>
    </row>
    <row r="209" spans="1:13" s="22" customFormat="1" x14ac:dyDescent="0.25">
      <c r="A209" s="50"/>
      <c r="B209" s="57" t="s">
        <v>198</v>
      </c>
      <c r="C209" s="47"/>
      <c r="D209" s="41">
        <v>10</v>
      </c>
      <c r="E209" s="26">
        <f>D211</f>
        <v>10</v>
      </c>
      <c r="F209" s="26">
        <f t="shared" ref="F209:M209" si="54">E211</f>
        <v>10</v>
      </c>
      <c r="G209" s="26">
        <f t="shared" si="54"/>
        <v>10</v>
      </c>
      <c r="H209" s="26">
        <f t="shared" si="54"/>
        <v>10</v>
      </c>
      <c r="I209" s="93">
        <f t="shared" si="54"/>
        <v>10</v>
      </c>
      <c r="J209" s="93">
        <f t="shared" si="54"/>
        <v>10</v>
      </c>
      <c r="K209" s="93">
        <f t="shared" si="54"/>
        <v>10</v>
      </c>
      <c r="L209" s="93">
        <f t="shared" si="54"/>
        <v>10</v>
      </c>
      <c r="M209" s="93">
        <f t="shared" si="54"/>
        <v>10</v>
      </c>
    </row>
    <row r="210" spans="1:13" s="22" customFormat="1" x14ac:dyDescent="0.25">
      <c r="A210" s="50"/>
      <c r="B210" s="57" t="s">
        <v>199</v>
      </c>
      <c r="C210" s="47"/>
      <c r="D210" s="41">
        <v>0</v>
      </c>
      <c r="E210" s="41">
        <v>0</v>
      </c>
      <c r="F210" s="41">
        <v>0</v>
      </c>
      <c r="G210" s="41">
        <v>0</v>
      </c>
      <c r="H210" s="41">
        <v>0</v>
      </c>
      <c r="I210" s="178">
        <f>Assumptions!I48</f>
        <v>0</v>
      </c>
      <c r="J210" s="178">
        <f>Assumptions!J48</f>
        <v>0</v>
      </c>
      <c r="K210" s="178">
        <f>Assumptions!K48</f>
        <v>0</v>
      </c>
      <c r="L210" s="178">
        <f>Assumptions!L48</f>
        <v>0</v>
      </c>
      <c r="M210" s="178">
        <f>Assumptions!M48</f>
        <v>0</v>
      </c>
    </row>
    <row r="211" spans="1:13" s="22" customFormat="1" x14ac:dyDescent="0.25">
      <c r="A211" s="47"/>
      <c r="B211" s="57" t="s">
        <v>200</v>
      </c>
      <c r="C211" s="47"/>
      <c r="D211" s="26">
        <f t="shared" ref="D211:M211" si="55">SUM(D209:D210)</f>
        <v>10</v>
      </c>
      <c r="E211" s="26">
        <f t="shared" si="55"/>
        <v>10</v>
      </c>
      <c r="F211" s="26">
        <f t="shared" si="55"/>
        <v>10</v>
      </c>
      <c r="G211" s="26">
        <f t="shared" si="55"/>
        <v>10</v>
      </c>
      <c r="H211" s="26">
        <f t="shared" si="55"/>
        <v>10</v>
      </c>
      <c r="I211" s="93">
        <f t="shared" si="55"/>
        <v>10</v>
      </c>
      <c r="J211" s="93">
        <f t="shared" si="55"/>
        <v>10</v>
      </c>
      <c r="K211" s="93">
        <f t="shared" si="55"/>
        <v>10</v>
      </c>
      <c r="L211" s="93">
        <f t="shared" si="55"/>
        <v>10</v>
      </c>
      <c r="M211" s="93">
        <f t="shared" si="55"/>
        <v>10</v>
      </c>
    </row>
    <row r="212" spans="1:13" s="22" customFormat="1" x14ac:dyDescent="0.25">
      <c r="A212" s="47"/>
      <c r="B212" s="57"/>
      <c r="C212" s="47"/>
      <c r="D212" s="26"/>
      <c r="E212" s="26"/>
      <c r="F212" s="26"/>
      <c r="G212" s="26"/>
      <c r="H212" s="26"/>
      <c r="I212" s="93"/>
      <c r="J212" s="93"/>
      <c r="K212" s="93"/>
      <c r="L212" s="93"/>
      <c r="M212" s="93"/>
    </row>
    <row r="213" spans="1:13" x14ac:dyDescent="0.25">
      <c r="A213" s="47"/>
      <c r="B213" s="59"/>
      <c r="C213" s="47"/>
      <c r="D213" s="24"/>
      <c r="E213" s="24"/>
      <c r="F213" s="24"/>
      <c r="G213" s="24"/>
      <c r="H213" s="24"/>
      <c r="I213" s="91"/>
      <c r="J213" s="91"/>
      <c r="K213" s="91"/>
      <c r="L213" s="91"/>
      <c r="M213" s="91"/>
    </row>
    <row r="214" spans="1:13" x14ac:dyDescent="0.25">
      <c r="A214" s="69" t="s">
        <v>151</v>
      </c>
      <c r="B214" s="47"/>
      <c r="C214" s="47"/>
      <c r="D214" s="24"/>
      <c r="E214" s="24"/>
      <c r="F214" s="24"/>
      <c r="G214" s="24"/>
      <c r="H214" s="24"/>
      <c r="I214" s="91"/>
      <c r="J214" s="91"/>
      <c r="K214" s="91"/>
      <c r="L214" s="91"/>
      <c r="M214" s="91"/>
    </row>
    <row r="215" spans="1:13" x14ac:dyDescent="0.25">
      <c r="A215" s="70"/>
      <c r="B215" s="52" t="str">
        <f>B9</f>
        <v>Fiscal year</v>
      </c>
      <c r="C215" s="52"/>
      <c r="D215" s="75">
        <f t="shared" ref="D215:M215" si="56">D9</f>
        <v>2016</v>
      </c>
      <c r="E215" s="75">
        <f t="shared" si="56"/>
        <v>2017</v>
      </c>
      <c r="F215" s="75">
        <f t="shared" si="56"/>
        <v>2018</v>
      </c>
      <c r="G215" s="75">
        <f t="shared" si="56"/>
        <v>2019</v>
      </c>
      <c r="H215" s="75">
        <f t="shared" si="56"/>
        <v>2020</v>
      </c>
      <c r="I215" s="106">
        <f t="shared" si="56"/>
        <v>2021</v>
      </c>
      <c r="J215" s="106">
        <f t="shared" si="56"/>
        <v>2022</v>
      </c>
      <c r="K215" s="106">
        <f t="shared" si="56"/>
        <v>2023</v>
      </c>
      <c r="L215" s="106">
        <f t="shared" si="56"/>
        <v>2024</v>
      </c>
      <c r="M215" s="106">
        <f t="shared" si="56"/>
        <v>2025</v>
      </c>
    </row>
    <row r="216" spans="1:13" x14ac:dyDescent="0.25">
      <c r="A216" s="71"/>
      <c r="B216" s="56" t="str">
        <f>B10</f>
        <v>Fiscal year end date</v>
      </c>
      <c r="C216" s="56" t="str">
        <f>C10</f>
        <v>Units</v>
      </c>
      <c r="D216" s="23">
        <f t="shared" ref="D216:M216" si="57">D10</f>
        <v>42643</v>
      </c>
      <c r="E216" s="23">
        <f t="shared" si="57"/>
        <v>43008</v>
      </c>
      <c r="F216" s="23">
        <f t="shared" si="57"/>
        <v>43373</v>
      </c>
      <c r="G216" s="23">
        <f t="shared" si="57"/>
        <v>43738</v>
      </c>
      <c r="H216" s="23">
        <f t="shared" si="57"/>
        <v>44103</v>
      </c>
      <c r="I216" s="90">
        <f t="shared" si="57"/>
        <v>44469</v>
      </c>
      <c r="J216" s="90">
        <f t="shared" si="57"/>
        <v>44834</v>
      </c>
      <c r="K216" s="90">
        <f t="shared" si="57"/>
        <v>45199</v>
      </c>
      <c r="L216" s="90">
        <f t="shared" si="57"/>
        <v>45565</v>
      </c>
      <c r="M216" s="90">
        <f t="shared" si="57"/>
        <v>45930</v>
      </c>
    </row>
    <row r="217" spans="1:13" x14ac:dyDescent="0.25">
      <c r="A217" s="69"/>
      <c r="B217" s="47"/>
      <c r="C217" s="47"/>
      <c r="D217" s="24"/>
      <c r="E217" s="24"/>
      <c r="F217" s="24"/>
      <c r="G217" s="24"/>
      <c r="H217" s="24"/>
      <c r="I217" s="91"/>
      <c r="J217" s="91"/>
      <c r="K217" s="91"/>
      <c r="L217" s="91"/>
      <c r="M217" s="91"/>
    </row>
    <row r="218" spans="1:13" x14ac:dyDescent="0.25">
      <c r="A218" s="47"/>
      <c r="B218" s="50" t="s">
        <v>121</v>
      </c>
      <c r="C218" s="47"/>
      <c r="D218" s="24"/>
      <c r="E218" s="24"/>
      <c r="F218" s="24"/>
      <c r="G218" s="24"/>
      <c r="H218" s="24"/>
      <c r="I218" s="91"/>
      <c r="J218" s="91"/>
      <c r="K218" s="91"/>
      <c r="L218" s="91"/>
      <c r="M218" s="91"/>
    </row>
    <row r="219" spans="1:13" x14ac:dyDescent="0.25">
      <c r="A219" s="47"/>
      <c r="B219" s="47" t="s">
        <v>74</v>
      </c>
      <c r="C219" s="47" t="s">
        <v>153</v>
      </c>
      <c r="D219" s="24"/>
      <c r="E219" s="26">
        <f t="shared" ref="E219:M219" si="58">E25</f>
        <v>81.500000000000057</v>
      </c>
      <c r="F219" s="26">
        <f t="shared" si="58"/>
        <v>71.700000000000045</v>
      </c>
      <c r="G219" s="26">
        <f t="shared" si="58"/>
        <v>92.999999999999943</v>
      </c>
      <c r="H219" s="26">
        <f t="shared" si="58"/>
        <v>127.79999999999993</v>
      </c>
      <c r="I219" s="93">
        <f t="shared" si="58"/>
        <v>113.18027999999998</v>
      </c>
      <c r="J219" s="93">
        <f t="shared" si="58"/>
        <v>149.3765952</v>
      </c>
      <c r="K219" s="93">
        <f t="shared" si="58"/>
        <v>153.10640774399999</v>
      </c>
      <c r="L219" s="93">
        <f t="shared" si="58"/>
        <v>156.94006485120002</v>
      </c>
      <c r="M219" s="93">
        <f t="shared" si="58"/>
        <v>160.88060136036484</v>
      </c>
    </row>
    <row r="220" spans="1:13" x14ac:dyDescent="0.25">
      <c r="A220" s="47"/>
      <c r="B220" s="47" t="s">
        <v>122</v>
      </c>
      <c r="C220" s="47" t="s">
        <v>153</v>
      </c>
      <c r="D220" s="24"/>
      <c r="E220" s="26">
        <f t="shared" ref="E220:M220" si="59">E18</f>
        <v>53.6</v>
      </c>
      <c r="F220" s="26">
        <f t="shared" si="59"/>
        <v>54.3</v>
      </c>
      <c r="G220" s="26">
        <f t="shared" si="59"/>
        <v>49.9</v>
      </c>
      <c r="H220" s="26">
        <f t="shared" si="59"/>
        <v>53.8</v>
      </c>
      <c r="I220" s="93">
        <f t="shared" si="59"/>
        <v>55.978999999999999</v>
      </c>
      <c r="J220" s="93">
        <f t="shared" si="59"/>
        <v>57.408042999999999</v>
      </c>
      <c r="K220" s="93">
        <f t="shared" si="59"/>
        <v>58.869372155000008</v>
      </c>
      <c r="L220" s="93">
        <f t="shared" si="59"/>
        <v>60.364294700874993</v>
      </c>
      <c r="M220" s="93">
        <f t="shared" si="59"/>
        <v>61.894136029446869</v>
      </c>
    </row>
    <row r="221" spans="1:13" s="22" customFormat="1" x14ac:dyDescent="0.25">
      <c r="A221" s="47"/>
      <c r="B221" s="47" t="s">
        <v>188</v>
      </c>
      <c r="C221" s="47" t="s">
        <v>153</v>
      </c>
      <c r="D221" s="24"/>
      <c r="E221" s="26">
        <f t="shared" ref="E221:M221" si="60">E105</f>
        <v>6.2</v>
      </c>
      <c r="F221" s="26">
        <f t="shared" si="60"/>
        <v>1.1000000000000001</v>
      </c>
      <c r="G221" s="26">
        <f t="shared" si="60"/>
        <v>20</v>
      </c>
      <c r="H221" s="26">
        <f t="shared" si="60"/>
        <v>9</v>
      </c>
      <c r="I221" s="93">
        <f t="shared" si="60"/>
        <v>-25.632599999999996</v>
      </c>
      <c r="J221" s="93">
        <f t="shared" si="60"/>
        <v>3.0240960000000143</v>
      </c>
      <c r="K221" s="93">
        <f t="shared" si="60"/>
        <v>3.1081771199999935</v>
      </c>
      <c r="L221" s="93">
        <f t="shared" si="60"/>
        <v>3.1947142559999975</v>
      </c>
      <c r="M221" s="93">
        <f t="shared" si="60"/>
        <v>3.2837804243040409</v>
      </c>
    </row>
    <row r="222" spans="1:13" x14ac:dyDescent="0.25">
      <c r="A222" s="47"/>
      <c r="B222" s="47" t="s">
        <v>131</v>
      </c>
      <c r="C222" s="47" t="s">
        <v>153</v>
      </c>
      <c r="D222" s="24"/>
      <c r="E222" s="26">
        <f t="shared" ref="E222:M222" si="61">E112</f>
        <v>20</v>
      </c>
      <c r="F222" s="26">
        <f t="shared" si="61"/>
        <v>-23</v>
      </c>
      <c r="G222" s="26">
        <f t="shared" si="61"/>
        <v>11.400000000000006</v>
      </c>
      <c r="H222" s="26">
        <f t="shared" si="61"/>
        <v>30.599999999999994</v>
      </c>
      <c r="I222" s="93">
        <f t="shared" si="61"/>
        <v>-39.685753424657548</v>
      </c>
      <c r="J222" s="93">
        <f t="shared" si="61"/>
        <v>4.1425972602739876</v>
      </c>
      <c r="K222" s="93">
        <f t="shared" si="61"/>
        <v>4.2577768767123416</v>
      </c>
      <c r="L222" s="93">
        <f t="shared" si="61"/>
        <v>4.3763208986301265</v>
      </c>
      <c r="M222" s="93">
        <f t="shared" si="61"/>
        <v>4.4983293483616933</v>
      </c>
    </row>
    <row r="223" spans="1:13" x14ac:dyDescent="0.25">
      <c r="A223" s="47"/>
      <c r="B223" s="47" t="s">
        <v>132</v>
      </c>
      <c r="C223" s="47" t="s">
        <v>153</v>
      </c>
      <c r="D223" s="24"/>
      <c r="E223" s="26">
        <f t="shared" ref="E223:M223" si="62">E120</f>
        <v>4.7000000000000028</v>
      </c>
      <c r="F223" s="26">
        <f t="shared" si="62"/>
        <v>-4</v>
      </c>
      <c r="G223" s="26">
        <f t="shared" si="62"/>
        <v>14.800000000000011</v>
      </c>
      <c r="H223" s="26">
        <f t="shared" si="62"/>
        <v>5.3999999999999773</v>
      </c>
      <c r="I223" s="93">
        <f t="shared" si="62"/>
        <v>11.725073170731747</v>
      </c>
      <c r="J223" s="93">
        <f t="shared" si="62"/>
        <v>3.9337834146341493</v>
      </c>
      <c r="K223" s="93">
        <f t="shared" si="62"/>
        <v>4.0431572292682745</v>
      </c>
      <c r="L223" s="93">
        <f t="shared" si="62"/>
        <v>4.1557258614634236</v>
      </c>
      <c r="M223" s="93">
        <f t="shared" si="62"/>
        <v>4.2715842917776001</v>
      </c>
    </row>
    <row r="224" spans="1:13" x14ac:dyDescent="0.25">
      <c r="A224" s="47"/>
      <c r="B224" s="47" t="s">
        <v>133</v>
      </c>
      <c r="C224" s="47" t="s">
        <v>153</v>
      </c>
      <c r="D224" s="24"/>
      <c r="E224" s="26">
        <f t="shared" ref="E224:M224" si="63">E136</f>
        <v>-1.4000000000000057</v>
      </c>
      <c r="F224" s="26">
        <f t="shared" si="63"/>
        <v>1.5</v>
      </c>
      <c r="G224" s="26">
        <f t="shared" si="63"/>
        <v>70.400000000000006</v>
      </c>
      <c r="H224" s="26">
        <f t="shared" si="63"/>
        <v>-5.8000000000000114</v>
      </c>
      <c r="I224" s="93">
        <f t="shared" si="63"/>
        <v>10.958799999999997</v>
      </c>
      <c r="J224" s="93">
        <f t="shared" si="63"/>
        <v>4.7881520000000251</v>
      </c>
      <c r="K224" s="93">
        <f t="shared" si="63"/>
        <v>4.9212804400000039</v>
      </c>
      <c r="L224" s="93">
        <f t="shared" si="63"/>
        <v>5.058297572000015</v>
      </c>
      <c r="M224" s="93">
        <f t="shared" si="63"/>
        <v>5.1993190051480269</v>
      </c>
    </row>
    <row r="225" spans="1:15" x14ac:dyDescent="0.25">
      <c r="A225" s="47"/>
      <c r="B225" s="47" t="s">
        <v>123</v>
      </c>
      <c r="C225" s="47" t="s">
        <v>153</v>
      </c>
      <c r="D225" s="24"/>
      <c r="E225" s="26">
        <f t="shared" ref="E225:M225" si="64">E128</f>
        <v>20.599999999999994</v>
      </c>
      <c r="F225" s="26">
        <f t="shared" si="64"/>
        <v>-29.199999999999989</v>
      </c>
      <c r="G225" s="26">
        <f t="shared" si="64"/>
        <v>31.199999999999989</v>
      </c>
      <c r="H225" s="26">
        <f t="shared" si="64"/>
        <v>103.60000000000002</v>
      </c>
      <c r="I225" s="93">
        <f t="shared" si="64"/>
        <v>-171.31488219178084</v>
      </c>
      <c r="J225" s="93">
        <f t="shared" si="64"/>
        <v>2.6512622465753424</v>
      </c>
      <c r="K225" s="93">
        <f t="shared" si="64"/>
        <v>2.7249772010958822</v>
      </c>
      <c r="L225" s="93">
        <f t="shared" si="64"/>
        <v>2.8008453751232878</v>
      </c>
      <c r="M225" s="93">
        <f t="shared" si="64"/>
        <v>2.8789307829514712</v>
      </c>
    </row>
    <row r="226" spans="1:15" x14ac:dyDescent="0.25">
      <c r="A226" s="47"/>
      <c r="B226" s="47" t="s">
        <v>170</v>
      </c>
      <c r="C226" s="47" t="s">
        <v>153</v>
      </c>
      <c r="D226" s="24"/>
      <c r="E226" s="26">
        <f t="shared" ref="E226:M226" si="65">E143</f>
        <v>13.099999999999966</v>
      </c>
      <c r="F226" s="26">
        <f t="shared" si="65"/>
        <v>14.799999999999784</v>
      </c>
      <c r="G226" s="26">
        <f t="shared" si="65"/>
        <v>255.19999999999987</v>
      </c>
      <c r="H226" s="26">
        <f t="shared" si="65"/>
        <v>-72.299999999999557</v>
      </c>
      <c r="I226" s="93">
        <f t="shared" si="65"/>
        <v>1.8367999999999824</v>
      </c>
      <c r="J226" s="93">
        <f t="shared" si="65"/>
        <v>8.568271999999979</v>
      </c>
      <c r="K226" s="93">
        <f t="shared" si="65"/>
        <v>8.8065018400000099</v>
      </c>
      <c r="L226" s="93">
        <f t="shared" si="65"/>
        <v>9.0516903920000118</v>
      </c>
      <c r="M226" s="93">
        <f t="shared" si="65"/>
        <v>9.3040445355280781</v>
      </c>
    </row>
    <row r="227" spans="1:15" x14ac:dyDescent="0.25">
      <c r="A227" s="47"/>
      <c r="B227" s="47" t="s">
        <v>124</v>
      </c>
      <c r="C227" s="47" t="s">
        <v>153</v>
      </c>
      <c r="D227" s="24"/>
      <c r="E227" s="26">
        <f t="shared" ref="E227:M227" si="66">E186</f>
        <v>-9.3000000000000043</v>
      </c>
      <c r="F227" s="26">
        <f t="shared" si="66"/>
        <v>-11.799999999999997</v>
      </c>
      <c r="G227" s="26">
        <f t="shared" si="66"/>
        <v>-21.5</v>
      </c>
      <c r="H227" s="26">
        <f t="shared" si="66"/>
        <v>0</v>
      </c>
      <c r="I227" s="93">
        <f t="shared" si="66"/>
        <v>0</v>
      </c>
      <c r="J227" s="93">
        <f t="shared" si="66"/>
        <v>0</v>
      </c>
      <c r="K227" s="93">
        <f t="shared" si="66"/>
        <v>0</v>
      </c>
      <c r="L227" s="93">
        <f t="shared" si="66"/>
        <v>0</v>
      </c>
      <c r="M227" s="93">
        <f t="shared" si="66"/>
        <v>0</v>
      </c>
    </row>
    <row r="228" spans="1:15" x14ac:dyDescent="0.25">
      <c r="A228" s="47"/>
      <c r="B228" s="50" t="s">
        <v>129</v>
      </c>
      <c r="C228" s="47" t="s">
        <v>153</v>
      </c>
      <c r="D228" s="74"/>
      <c r="E228" s="27">
        <f t="shared" ref="E228:M228" si="67">SUM(E219:E220)-SUM(E221:E224)+SUM(E225:E227)</f>
        <v>130</v>
      </c>
      <c r="F228" s="27">
        <f t="shared" si="67"/>
        <v>124.19999999999983</v>
      </c>
      <c r="G228" s="27">
        <f t="shared" si="67"/>
        <v>291.19999999999982</v>
      </c>
      <c r="H228" s="27">
        <f t="shared" si="67"/>
        <v>173.70000000000041</v>
      </c>
      <c r="I228" s="94">
        <f t="shared" si="67"/>
        <v>42.315678062144912</v>
      </c>
      <c r="J228" s="94">
        <f t="shared" si="67"/>
        <v>202.11554377166715</v>
      </c>
      <c r="K228" s="94">
        <f t="shared" si="67"/>
        <v>207.1768672741153</v>
      </c>
      <c r="L228" s="94">
        <f t="shared" si="67"/>
        <v>212.37183673110476</v>
      </c>
      <c r="M228" s="94">
        <f t="shared" si="67"/>
        <v>217.70469963869991</v>
      </c>
    </row>
    <row r="229" spans="1:15" x14ac:dyDescent="0.25">
      <c r="A229" s="47"/>
      <c r="B229" s="47"/>
      <c r="C229" s="47"/>
      <c r="D229" s="24"/>
      <c r="E229" s="24"/>
      <c r="F229" s="24"/>
      <c r="G229" s="24"/>
      <c r="H229" s="24"/>
      <c r="I229" s="91"/>
      <c r="J229" s="91"/>
      <c r="K229" s="91"/>
      <c r="L229" s="91"/>
      <c r="M229" s="91"/>
    </row>
    <row r="230" spans="1:15" x14ac:dyDescent="0.25">
      <c r="A230" s="47"/>
      <c r="B230" s="50" t="s">
        <v>125</v>
      </c>
      <c r="C230" s="47"/>
      <c r="D230" s="24"/>
      <c r="E230" s="24"/>
      <c r="F230" s="24"/>
      <c r="G230" s="24"/>
      <c r="H230" s="24"/>
      <c r="I230" s="91"/>
      <c r="J230" s="91"/>
      <c r="K230" s="91"/>
      <c r="L230" s="91"/>
      <c r="M230" s="91"/>
    </row>
    <row r="231" spans="1:15" x14ac:dyDescent="0.25">
      <c r="A231" s="47"/>
      <c r="B231" s="47" t="s">
        <v>171</v>
      </c>
      <c r="C231" s="47" t="s">
        <v>153</v>
      </c>
      <c r="D231" s="24"/>
      <c r="E231" s="26">
        <f>E159</f>
        <v>58</v>
      </c>
      <c r="F231" s="26">
        <f>F159</f>
        <v>37.700000000000045</v>
      </c>
      <c r="G231" s="26">
        <f>G159</f>
        <v>118.40000000000009</v>
      </c>
      <c r="H231" s="26">
        <f>H159</f>
        <v>161.09999999999991</v>
      </c>
      <c r="I231" s="93">
        <f>I154</f>
        <v>81.961600000000004</v>
      </c>
      <c r="J231" s="93">
        <f>J154</f>
        <v>83.977664000000004</v>
      </c>
      <c r="K231" s="93">
        <f>K154</f>
        <v>86.04978208</v>
      </c>
      <c r="L231" s="93">
        <f>L154</f>
        <v>88.179591584000008</v>
      </c>
      <c r="M231" s="93">
        <f>M154</f>
        <v>90.36877853353603</v>
      </c>
    </row>
    <row r="232" spans="1:15" x14ac:dyDescent="0.25">
      <c r="A232" s="47"/>
      <c r="B232" s="47" t="s">
        <v>172</v>
      </c>
      <c r="C232" s="47" t="s">
        <v>153</v>
      </c>
      <c r="D232" s="24"/>
      <c r="E232" s="45">
        <f t="shared" ref="E232:M232" si="68">E167</f>
        <v>42.300000000000011</v>
      </c>
      <c r="F232" s="45">
        <f t="shared" si="68"/>
        <v>62.899999999999977</v>
      </c>
      <c r="G232" s="45">
        <f t="shared" si="68"/>
        <v>93</v>
      </c>
      <c r="H232" s="45">
        <f t="shared" si="68"/>
        <v>-26.899999999999977</v>
      </c>
      <c r="I232" s="121">
        <f t="shared" si="68"/>
        <v>21.298399999999958</v>
      </c>
      <c r="J232" s="121">
        <f t="shared" si="68"/>
        <v>10.584336000000064</v>
      </c>
      <c r="K232" s="121">
        <f t="shared" si="68"/>
        <v>10.878619920000006</v>
      </c>
      <c r="L232" s="121">
        <f t="shared" si="68"/>
        <v>11.181499895999991</v>
      </c>
      <c r="M232" s="121">
        <f t="shared" si="68"/>
        <v>11.493231485064086</v>
      </c>
    </row>
    <row r="233" spans="1:15" x14ac:dyDescent="0.25">
      <c r="A233" s="47"/>
      <c r="B233" s="50" t="s">
        <v>130</v>
      </c>
      <c r="C233" s="47" t="s">
        <v>153</v>
      </c>
      <c r="D233" s="74"/>
      <c r="E233" s="27">
        <f t="shared" ref="E233:M233" si="69">SUM(E231:E232)</f>
        <v>100.30000000000001</v>
      </c>
      <c r="F233" s="27">
        <f t="shared" si="69"/>
        <v>100.60000000000002</v>
      </c>
      <c r="G233" s="27">
        <f t="shared" si="69"/>
        <v>211.40000000000009</v>
      </c>
      <c r="H233" s="27">
        <f t="shared" si="69"/>
        <v>134.19999999999993</v>
      </c>
      <c r="I233" s="94">
        <f t="shared" si="69"/>
        <v>103.25999999999996</v>
      </c>
      <c r="J233" s="94">
        <f t="shared" si="69"/>
        <v>94.562000000000069</v>
      </c>
      <c r="K233" s="94">
        <f t="shared" si="69"/>
        <v>96.928402000000006</v>
      </c>
      <c r="L233" s="94">
        <f t="shared" si="69"/>
        <v>99.361091479999999</v>
      </c>
      <c r="M233" s="94">
        <f t="shared" si="69"/>
        <v>101.86201001860012</v>
      </c>
    </row>
    <row r="234" spans="1:15" x14ac:dyDescent="0.25">
      <c r="A234" s="47"/>
      <c r="B234" s="47"/>
      <c r="C234" s="47"/>
      <c r="D234" s="24"/>
      <c r="E234" s="24"/>
      <c r="F234" s="24"/>
      <c r="G234" s="24"/>
      <c r="H234" s="24"/>
      <c r="I234" s="91"/>
      <c r="J234" s="91"/>
      <c r="K234" s="91"/>
      <c r="L234" s="91"/>
      <c r="M234" s="91"/>
    </row>
    <row r="235" spans="1:15" x14ac:dyDescent="0.25">
      <c r="A235" s="47"/>
      <c r="B235" s="50" t="s">
        <v>126</v>
      </c>
      <c r="C235" s="47"/>
      <c r="D235" s="24"/>
      <c r="E235" s="24"/>
      <c r="F235" s="24"/>
      <c r="G235" s="24"/>
      <c r="H235" s="24"/>
      <c r="I235" s="91"/>
      <c r="J235" s="91"/>
      <c r="K235" s="91"/>
      <c r="L235" s="91"/>
      <c r="M235" s="91"/>
    </row>
    <row r="236" spans="1:15" x14ac:dyDescent="0.25">
      <c r="A236" s="47"/>
      <c r="B236" s="47" t="s">
        <v>190</v>
      </c>
      <c r="C236" s="47" t="s">
        <v>153</v>
      </c>
      <c r="D236" s="24"/>
      <c r="E236" s="26">
        <f t="shared" ref="E236:M236" si="70">E86-D86</f>
        <v>22.1</v>
      </c>
      <c r="F236" s="26">
        <f t="shared" si="70"/>
        <v>16.600000000000005</v>
      </c>
      <c r="G236" s="26">
        <f t="shared" si="70"/>
        <v>-40.500000000000007</v>
      </c>
      <c r="H236" s="26">
        <f t="shared" si="70"/>
        <v>9.9999999999999645E-2</v>
      </c>
      <c r="I236" s="93">
        <f t="shared" si="70"/>
        <v>99.504870337855124</v>
      </c>
      <c r="J236" s="93">
        <f t="shared" si="70"/>
        <v>-28.383948315667169</v>
      </c>
      <c r="K236" s="93">
        <f t="shared" si="70"/>
        <v>-29.102069169795477</v>
      </c>
      <c r="L236" s="93">
        <f t="shared" si="70"/>
        <v>-29.83251087996863</v>
      </c>
      <c r="M236" s="93">
        <f t="shared" si="70"/>
        <v>-19.186341972423847</v>
      </c>
    </row>
    <row r="237" spans="1:15" x14ac:dyDescent="0.25">
      <c r="A237" s="47"/>
      <c r="B237" s="47" t="s">
        <v>127</v>
      </c>
      <c r="C237" s="47" t="s">
        <v>153</v>
      </c>
      <c r="D237" s="24"/>
      <c r="E237" s="26">
        <f t="shared" ref="E237:M237" si="71">E178</f>
        <v>-4.6999999999999993</v>
      </c>
      <c r="F237" s="26">
        <f t="shared" si="71"/>
        <v>-4.8999999999999986</v>
      </c>
      <c r="G237" s="26">
        <f t="shared" si="71"/>
        <v>13.8</v>
      </c>
      <c r="H237" s="26">
        <f t="shared" si="71"/>
        <v>37.699999999999996</v>
      </c>
      <c r="I237" s="93">
        <f t="shared" si="71"/>
        <v>0</v>
      </c>
      <c r="J237" s="93">
        <f t="shared" si="71"/>
        <v>0</v>
      </c>
      <c r="K237" s="93">
        <f t="shared" si="71"/>
        <v>0</v>
      </c>
      <c r="L237" s="93">
        <f t="shared" si="71"/>
        <v>0</v>
      </c>
      <c r="M237" s="93">
        <f t="shared" si="71"/>
        <v>0</v>
      </c>
    </row>
    <row r="238" spans="1:15" x14ac:dyDescent="0.25">
      <c r="A238" s="47"/>
      <c r="B238" s="47" t="s">
        <v>194</v>
      </c>
      <c r="C238" s="47" t="s">
        <v>153</v>
      </c>
      <c r="D238" s="24"/>
      <c r="E238" s="26">
        <f t="shared" ref="E238:M238" si="72">E195</f>
        <v>0</v>
      </c>
      <c r="F238" s="26">
        <f t="shared" si="72"/>
        <v>0</v>
      </c>
      <c r="G238" s="26">
        <f t="shared" si="72"/>
        <v>0</v>
      </c>
      <c r="H238" s="26">
        <f t="shared" si="72"/>
        <v>0</v>
      </c>
      <c r="I238" s="93">
        <f t="shared" si="72"/>
        <v>0</v>
      </c>
      <c r="J238" s="93">
        <f t="shared" si="72"/>
        <v>0</v>
      </c>
      <c r="K238" s="93">
        <f t="shared" si="72"/>
        <v>0</v>
      </c>
      <c r="L238" s="93">
        <f t="shared" si="72"/>
        <v>0</v>
      </c>
      <c r="M238" s="93">
        <f t="shared" si="72"/>
        <v>0</v>
      </c>
    </row>
    <row r="239" spans="1:15" x14ac:dyDescent="0.25">
      <c r="A239" s="47"/>
      <c r="B239" s="47" t="s">
        <v>128</v>
      </c>
      <c r="C239" s="47" t="s">
        <v>153</v>
      </c>
      <c r="D239" s="24"/>
      <c r="E239" s="26">
        <f t="shared" ref="E239:M239" si="73">E27</f>
        <v>32.6</v>
      </c>
      <c r="F239" s="26">
        <f t="shared" si="73"/>
        <v>43.1</v>
      </c>
      <c r="G239" s="26">
        <f t="shared" si="73"/>
        <v>55.8</v>
      </c>
      <c r="H239" s="26">
        <f t="shared" si="73"/>
        <v>76.7</v>
      </c>
      <c r="I239" s="93">
        <f t="shared" si="73"/>
        <v>59.985548399999992</v>
      </c>
      <c r="J239" s="93">
        <f t="shared" si="73"/>
        <v>79.169595455999996</v>
      </c>
      <c r="K239" s="93">
        <f t="shared" si="73"/>
        <v>81.146396104320004</v>
      </c>
      <c r="L239" s="93">
        <f t="shared" si="73"/>
        <v>83.178234371136014</v>
      </c>
      <c r="M239" s="93">
        <f t="shared" si="73"/>
        <v>85.266718720993367</v>
      </c>
    </row>
    <row r="240" spans="1:15" x14ac:dyDescent="0.25">
      <c r="A240" s="47"/>
      <c r="B240" s="50" t="s">
        <v>134</v>
      </c>
      <c r="C240" s="47" t="s">
        <v>153</v>
      </c>
      <c r="D240" s="24"/>
      <c r="E240" s="27">
        <f t="shared" ref="E240:M240" si="74">SUM(E236:E238)-E239</f>
        <v>-15.2</v>
      </c>
      <c r="F240" s="27">
        <f t="shared" si="74"/>
        <v>-31.399999999999995</v>
      </c>
      <c r="G240" s="27">
        <f t="shared" si="74"/>
        <v>-82.5</v>
      </c>
      <c r="H240" s="27">
        <f t="shared" si="74"/>
        <v>-38.900000000000006</v>
      </c>
      <c r="I240" s="94">
        <f t="shared" si="74"/>
        <v>39.519321937855132</v>
      </c>
      <c r="J240" s="94">
        <f t="shared" si="74"/>
        <v>-107.55354377166717</v>
      </c>
      <c r="K240" s="94">
        <f t="shared" si="74"/>
        <v>-110.24846527411549</v>
      </c>
      <c r="L240" s="94">
        <f t="shared" si="74"/>
        <v>-113.01074525110465</v>
      </c>
      <c r="M240" s="94">
        <f t="shared" si="74"/>
        <v>-104.45306069341721</v>
      </c>
      <c r="O240" s="155"/>
    </row>
    <row r="241" spans="1:15" x14ac:dyDescent="0.25">
      <c r="A241" s="50"/>
      <c r="B241" s="47"/>
      <c r="C241" s="47"/>
      <c r="D241" s="24"/>
      <c r="E241" s="24"/>
      <c r="F241" s="24"/>
      <c r="G241" s="24"/>
      <c r="H241" s="24"/>
      <c r="I241" s="91"/>
      <c r="J241" s="91"/>
      <c r="K241" s="91"/>
      <c r="L241" s="91"/>
      <c r="M241" s="91"/>
    </row>
    <row r="242" spans="1:15" x14ac:dyDescent="0.25">
      <c r="A242" s="47"/>
      <c r="B242" s="50" t="s">
        <v>207</v>
      </c>
      <c r="C242" s="47" t="s">
        <v>153</v>
      </c>
      <c r="D242" s="24"/>
      <c r="E242" s="27">
        <f t="shared" ref="E242:M242" si="75">E228-E233+E240</f>
        <v>14.499999999999989</v>
      </c>
      <c r="F242" s="27">
        <f t="shared" si="75"/>
        <v>-7.8000000000001855</v>
      </c>
      <c r="G242" s="27">
        <f t="shared" si="75"/>
        <v>-2.7000000000002728</v>
      </c>
      <c r="H242" s="27">
        <f t="shared" si="75"/>
        <v>0.60000000000047748</v>
      </c>
      <c r="I242" s="94">
        <f t="shared" si="75"/>
        <v>-21.424999999999919</v>
      </c>
      <c r="J242" s="94">
        <f t="shared" si="75"/>
        <v>0</v>
      </c>
      <c r="K242" s="94">
        <f t="shared" si="75"/>
        <v>-1.9895196601282805E-13</v>
      </c>
      <c r="L242" s="94">
        <f t="shared" si="75"/>
        <v>1.1368683772161603E-13</v>
      </c>
      <c r="M242" s="94">
        <f t="shared" si="75"/>
        <v>11.389628926682576</v>
      </c>
    </row>
    <row r="243" spans="1:15" x14ac:dyDescent="0.25">
      <c r="A243" s="47"/>
      <c r="B243" s="47"/>
      <c r="C243" s="47"/>
      <c r="D243" s="24"/>
      <c r="E243" s="24"/>
      <c r="F243" s="24"/>
      <c r="G243" s="24"/>
      <c r="H243" s="24"/>
      <c r="I243" s="91"/>
      <c r="J243" s="91"/>
      <c r="K243" s="91"/>
      <c r="L243" s="91"/>
      <c r="M243" s="91"/>
    </row>
    <row r="244" spans="1:15" x14ac:dyDescent="0.25">
      <c r="A244" s="47"/>
      <c r="B244" s="47" t="s">
        <v>208</v>
      </c>
      <c r="C244" s="47" t="s">
        <v>153</v>
      </c>
      <c r="D244" s="26"/>
      <c r="E244" s="26">
        <f t="shared" ref="E244:M244" si="76">D246</f>
        <v>16.825000000000003</v>
      </c>
      <c r="F244" s="26">
        <f t="shared" si="76"/>
        <v>31.324999999999992</v>
      </c>
      <c r="G244" s="26">
        <f t="shared" si="76"/>
        <v>23.524999999999807</v>
      </c>
      <c r="H244" s="26">
        <f t="shared" si="76"/>
        <v>20.824999999999534</v>
      </c>
      <c r="I244" s="93">
        <f t="shared" si="76"/>
        <v>21.425000000000011</v>
      </c>
      <c r="J244" s="93">
        <f t="shared" si="76"/>
        <v>9.2370555648813024E-14</v>
      </c>
      <c r="K244" s="93">
        <f t="shared" si="76"/>
        <v>9.2370555648813024E-14</v>
      </c>
      <c r="L244" s="93">
        <f t="shared" si="76"/>
        <v>-1.0658141036401503E-13</v>
      </c>
      <c r="M244" s="93">
        <f t="shared" si="76"/>
        <v>7.1054273576010019E-15</v>
      </c>
    </row>
    <row r="245" spans="1:15" x14ac:dyDescent="0.25">
      <c r="A245" s="47"/>
      <c r="B245" s="47" t="s">
        <v>209</v>
      </c>
      <c r="C245" s="47" t="s">
        <v>153</v>
      </c>
      <c r="D245" s="26"/>
      <c r="E245" s="26">
        <f t="shared" ref="E245:M245" si="77">E242</f>
        <v>14.499999999999989</v>
      </c>
      <c r="F245" s="26">
        <f t="shared" si="77"/>
        <v>-7.8000000000001855</v>
      </c>
      <c r="G245" s="26">
        <f t="shared" si="77"/>
        <v>-2.7000000000002728</v>
      </c>
      <c r="H245" s="26">
        <f t="shared" si="77"/>
        <v>0.60000000000047748</v>
      </c>
      <c r="I245" s="93">
        <f t="shared" si="77"/>
        <v>-21.424999999999919</v>
      </c>
      <c r="J245" s="93">
        <f t="shared" si="77"/>
        <v>0</v>
      </c>
      <c r="K245" s="93">
        <f t="shared" si="77"/>
        <v>-1.9895196601282805E-13</v>
      </c>
      <c r="L245" s="93">
        <f t="shared" si="77"/>
        <v>1.1368683772161603E-13</v>
      </c>
      <c r="M245" s="93">
        <f t="shared" si="77"/>
        <v>11.389628926682576</v>
      </c>
    </row>
    <row r="246" spans="1:15" x14ac:dyDescent="0.25">
      <c r="A246" s="47"/>
      <c r="B246" s="50" t="s">
        <v>210</v>
      </c>
      <c r="C246" s="47" t="s">
        <v>153</v>
      </c>
      <c r="D246" s="27">
        <f>D72</f>
        <v>16.825000000000003</v>
      </c>
      <c r="E246" s="27">
        <f t="shared" ref="E246:M246" si="78">SUM(E244:E245)</f>
        <v>31.324999999999992</v>
      </c>
      <c r="F246" s="27">
        <f t="shared" si="78"/>
        <v>23.524999999999807</v>
      </c>
      <c r="G246" s="27">
        <f t="shared" si="78"/>
        <v>20.824999999999534</v>
      </c>
      <c r="H246" s="27">
        <f t="shared" si="78"/>
        <v>21.425000000000011</v>
      </c>
      <c r="I246" s="94">
        <f t="shared" si="78"/>
        <v>9.2370555648813024E-14</v>
      </c>
      <c r="J246" s="94">
        <f t="shared" si="78"/>
        <v>9.2370555648813024E-14</v>
      </c>
      <c r="K246" s="94">
        <f t="shared" si="78"/>
        <v>-1.0658141036401503E-13</v>
      </c>
      <c r="L246" s="94">
        <f t="shared" si="78"/>
        <v>7.1054273576010019E-15</v>
      </c>
      <c r="M246" s="94">
        <f t="shared" si="78"/>
        <v>11.389628926682583</v>
      </c>
    </row>
    <row r="247" spans="1:15" s="22" customFormat="1" x14ac:dyDescent="0.25">
      <c r="A247" s="47"/>
      <c r="B247" s="50"/>
      <c r="C247" s="47"/>
      <c r="D247" s="27"/>
      <c r="E247" s="27"/>
      <c r="F247" s="27"/>
      <c r="G247" s="27"/>
      <c r="H247" s="27"/>
      <c r="I247" s="94"/>
      <c r="J247" s="94"/>
      <c r="K247" s="94"/>
      <c r="L247" s="94"/>
      <c r="M247" s="94"/>
    </row>
    <row r="248" spans="1:15" s="22" customFormat="1" x14ac:dyDescent="0.25">
      <c r="A248" s="50" t="s">
        <v>220</v>
      </c>
      <c r="B248" s="47"/>
      <c r="C248" s="47"/>
      <c r="D248" s="27"/>
      <c r="E248" s="27"/>
      <c r="F248" s="27"/>
      <c r="G248" s="27"/>
      <c r="H248" s="27"/>
      <c r="I248" s="94"/>
      <c r="J248" s="94"/>
      <c r="K248" s="94"/>
      <c r="L248" s="94"/>
      <c r="M248" s="94"/>
    </row>
    <row r="249" spans="1:15" s="22" customFormat="1" x14ac:dyDescent="0.25">
      <c r="A249" s="51"/>
      <c r="B249" s="52" t="str">
        <f>B9</f>
        <v>Fiscal year</v>
      </c>
      <c r="C249" s="52"/>
      <c r="D249" s="75">
        <f t="shared" ref="D249:M249" si="79">D9</f>
        <v>2016</v>
      </c>
      <c r="E249" s="75">
        <f t="shared" si="79"/>
        <v>2017</v>
      </c>
      <c r="F249" s="75">
        <f t="shared" si="79"/>
        <v>2018</v>
      </c>
      <c r="G249" s="75">
        <f t="shared" si="79"/>
        <v>2019</v>
      </c>
      <c r="H249" s="75">
        <f t="shared" si="79"/>
        <v>2020</v>
      </c>
      <c r="I249" s="106">
        <f t="shared" si="79"/>
        <v>2021</v>
      </c>
      <c r="J249" s="106">
        <f t="shared" si="79"/>
        <v>2022</v>
      </c>
      <c r="K249" s="106">
        <f t="shared" si="79"/>
        <v>2023</v>
      </c>
      <c r="L249" s="106">
        <f t="shared" si="79"/>
        <v>2024</v>
      </c>
      <c r="M249" s="106">
        <f t="shared" si="79"/>
        <v>2025</v>
      </c>
    </row>
    <row r="250" spans="1:15" s="22" customFormat="1" x14ac:dyDescent="0.25">
      <c r="A250" s="153"/>
      <c r="B250" s="56" t="str">
        <f>B10</f>
        <v>Fiscal year end date</v>
      </c>
      <c r="C250" s="56" t="str">
        <f>C10</f>
        <v>Units</v>
      </c>
      <c r="D250" s="23">
        <f t="shared" ref="D250:M250" si="80">D10</f>
        <v>42643</v>
      </c>
      <c r="E250" s="23">
        <f t="shared" si="80"/>
        <v>43008</v>
      </c>
      <c r="F250" s="23">
        <f t="shared" si="80"/>
        <v>43373</v>
      </c>
      <c r="G250" s="23">
        <f t="shared" si="80"/>
        <v>43738</v>
      </c>
      <c r="H250" s="23">
        <f t="shared" si="80"/>
        <v>44103</v>
      </c>
      <c r="I250" s="90">
        <f t="shared" si="80"/>
        <v>44469</v>
      </c>
      <c r="J250" s="90">
        <f t="shared" si="80"/>
        <v>44834</v>
      </c>
      <c r="K250" s="90">
        <f t="shared" si="80"/>
        <v>45199</v>
      </c>
      <c r="L250" s="90">
        <f t="shared" si="80"/>
        <v>45565</v>
      </c>
      <c r="M250" s="90">
        <f t="shared" si="80"/>
        <v>45930</v>
      </c>
    </row>
    <row r="251" spans="1:15" s="22" customFormat="1" x14ac:dyDescent="0.25">
      <c r="A251" s="53"/>
      <c r="B251" s="54"/>
      <c r="C251" s="54"/>
      <c r="D251" s="27"/>
      <c r="E251" s="27"/>
      <c r="F251" s="27"/>
      <c r="G251" s="27"/>
      <c r="H251" s="27"/>
      <c r="I251" s="94"/>
      <c r="J251" s="94"/>
      <c r="K251" s="94"/>
      <c r="L251" s="94"/>
      <c r="M251" s="94"/>
    </row>
    <row r="252" spans="1:15" s="22" customFormat="1" x14ac:dyDescent="0.25">
      <c r="A252" s="47"/>
      <c r="B252" s="50" t="s">
        <v>221</v>
      </c>
      <c r="C252" s="47"/>
      <c r="D252" s="27"/>
      <c r="E252" s="27"/>
      <c r="F252" s="27"/>
      <c r="G252" s="27"/>
      <c r="H252" s="27"/>
      <c r="I252" s="94"/>
      <c r="J252" s="94"/>
      <c r="K252" s="94"/>
      <c r="L252" s="94"/>
      <c r="M252" s="94"/>
    </row>
    <row r="253" spans="1:15" s="22" customFormat="1" x14ac:dyDescent="0.25">
      <c r="A253" s="47"/>
      <c r="B253" s="47" t="s">
        <v>222</v>
      </c>
      <c r="C253" s="47"/>
      <c r="D253" s="27"/>
      <c r="E253" s="35">
        <f>E71-D71</f>
        <v>6.2000000000000028</v>
      </c>
      <c r="F253" s="35">
        <f t="shared" ref="F253:M253" si="81">F71-E71</f>
        <v>1.0999999999999943</v>
      </c>
      <c r="G253" s="35">
        <f t="shared" si="81"/>
        <v>20</v>
      </c>
      <c r="H253" s="35">
        <f t="shared" si="81"/>
        <v>9</v>
      </c>
      <c r="I253" s="95">
        <f t="shared" si="81"/>
        <v>-25.632599999999996</v>
      </c>
      <c r="J253" s="95">
        <f t="shared" si="81"/>
        <v>3.0240960000000143</v>
      </c>
      <c r="K253" s="95">
        <f t="shared" si="81"/>
        <v>3.1081771199999935</v>
      </c>
      <c r="L253" s="95">
        <f t="shared" si="81"/>
        <v>3.1947142559999975</v>
      </c>
      <c r="M253" s="95">
        <f t="shared" si="81"/>
        <v>3.2837804243040409</v>
      </c>
      <c r="N253" s="155"/>
    </row>
    <row r="254" spans="1:15" s="22" customFormat="1" x14ac:dyDescent="0.25">
      <c r="A254" s="47"/>
      <c r="B254" s="47" t="s">
        <v>223</v>
      </c>
      <c r="C254" s="47"/>
      <c r="D254" s="27"/>
      <c r="E254" s="35">
        <f t="shared" ref="E254:M254" si="82">E73-D73</f>
        <v>20</v>
      </c>
      <c r="F254" s="35">
        <f t="shared" si="82"/>
        <v>-23</v>
      </c>
      <c r="G254" s="35">
        <f t="shared" si="82"/>
        <v>11.400000000000006</v>
      </c>
      <c r="H254" s="35">
        <f t="shared" si="82"/>
        <v>30.599999999999994</v>
      </c>
      <c r="I254" s="95">
        <f t="shared" si="82"/>
        <v>-39.685753424657548</v>
      </c>
      <c r="J254" s="95">
        <f t="shared" si="82"/>
        <v>4.1425972602739876</v>
      </c>
      <c r="K254" s="95">
        <f t="shared" si="82"/>
        <v>4.2577768767123416</v>
      </c>
      <c r="L254" s="95">
        <f t="shared" si="82"/>
        <v>4.3763208986301265</v>
      </c>
      <c r="M254" s="95">
        <f t="shared" si="82"/>
        <v>4.4983293483616933</v>
      </c>
      <c r="N254" s="155"/>
    </row>
    <row r="255" spans="1:15" s="22" customFormat="1" x14ac:dyDescent="0.25">
      <c r="A255" s="47"/>
      <c r="B255" s="47" t="s">
        <v>224</v>
      </c>
      <c r="C255" s="47"/>
      <c r="D255" s="27"/>
      <c r="E255" s="35">
        <f t="shared" ref="E255:M255" si="83">E74-D74</f>
        <v>4.7000000000000028</v>
      </c>
      <c r="F255" s="35">
        <f t="shared" si="83"/>
        <v>-4</v>
      </c>
      <c r="G255" s="35">
        <f t="shared" si="83"/>
        <v>14.800000000000011</v>
      </c>
      <c r="H255" s="35">
        <f t="shared" si="83"/>
        <v>5.3999999999999773</v>
      </c>
      <c r="I255" s="95">
        <f t="shared" si="83"/>
        <v>11.725073170731747</v>
      </c>
      <c r="J255" s="95">
        <f t="shared" si="83"/>
        <v>3.9337834146341493</v>
      </c>
      <c r="K255" s="95">
        <f t="shared" si="83"/>
        <v>4.0431572292682745</v>
      </c>
      <c r="L255" s="95">
        <f t="shared" si="83"/>
        <v>4.1557258614634236</v>
      </c>
      <c r="M255" s="95">
        <f t="shared" si="83"/>
        <v>4.2715842917776001</v>
      </c>
      <c r="N255" s="155"/>
    </row>
    <row r="256" spans="1:15" s="22" customFormat="1" x14ac:dyDescent="0.25">
      <c r="A256" s="47"/>
      <c r="B256" s="47" t="s">
        <v>225</v>
      </c>
      <c r="C256" s="47"/>
      <c r="D256" s="27"/>
      <c r="E256" s="35">
        <f t="shared" ref="E256:M256" si="84">E75-D75</f>
        <v>-1.4000000000000057</v>
      </c>
      <c r="F256" s="35">
        <f t="shared" si="84"/>
        <v>1.5</v>
      </c>
      <c r="G256" s="35">
        <f t="shared" si="84"/>
        <v>70.400000000000006</v>
      </c>
      <c r="H256" s="35">
        <f t="shared" si="84"/>
        <v>-5.8000000000000114</v>
      </c>
      <c r="I256" s="95">
        <f t="shared" si="84"/>
        <v>10.958799999999997</v>
      </c>
      <c r="J256" s="95">
        <f t="shared" si="84"/>
        <v>4.7881520000000251</v>
      </c>
      <c r="K256" s="95">
        <f t="shared" si="84"/>
        <v>4.9212804400000039</v>
      </c>
      <c r="L256" s="95">
        <f t="shared" si="84"/>
        <v>5.058297572000015</v>
      </c>
      <c r="M256" s="95">
        <f t="shared" si="84"/>
        <v>5.1993190051480269</v>
      </c>
      <c r="N256" s="155"/>
      <c r="O256" s="155"/>
    </row>
    <row r="257" spans="1:15" s="22" customFormat="1" x14ac:dyDescent="0.25">
      <c r="A257" s="47"/>
      <c r="B257" s="50" t="s">
        <v>226</v>
      </c>
      <c r="C257" s="47"/>
      <c r="D257" s="27"/>
      <c r="E257" s="27">
        <f t="shared" ref="E257:M257" si="85">SUM(E253:E256)</f>
        <v>29.5</v>
      </c>
      <c r="F257" s="27">
        <f t="shared" si="85"/>
        <v>-24.400000000000006</v>
      </c>
      <c r="G257" s="27">
        <f t="shared" si="85"/>
        <v>116.60000000000002</v>
      </c>
      <c r="H257" s="27">
        <f t="shared" si="85"/>
        <v>39.19999999999996</v>
      </c>
      <c r="I257" s="154">
        <f t="shared" si="85"/>
        <v>-42.634480253925801</v>
      </c>
      <c r="J257" s="154">
        <f t="shared" si="85"/>
        <v>15.888628674908176</v>
      </c>
      <c r="K257" s="154">
        <f t="shared" si="85"/>
        <v>16.330391665980613</v>
      </c>
      <c r="L257" s="154">
        <f t="shared" si="85"/>
        <v>16.785058588093563</v>
      </c>
      <c r="M257" s="154">
        <f t="shared" si="85"/>
        <v>17.253013069591361</v>
      </c>
      <c r="N257" s="155"/>
    </row>
    <row r="258" spans="1:15" s="22" customFormat="1" x14ac:dyDescent="0.25">
      <c r="A258" s="47"/>
      <c r="B258" s="47" t="s">
        <v>227</v>
      </c>
      <c r="C258" s="47" t="s">
        <v>153</v>
      </c>
      <c r="D258" s="27"/>
      <c r="E258" s="35">
        <f t="shared" ref="E258:M258" si="86">E77-D77</f>
        <v>58</v>
      </c>
      <c r="F258" s="35">
        <f t="shared" si="86"/>
        <v>37.700000000000045</v>
      </c>
      <c r="G258" s="35">
        <f t="shared" si="86"/>
        <v>118.40000000000009</v>
      </c>
      <c r="H258" s="35">
        <f t="shared" si="86"/>
        <v>161.09999999999991</v>
      </c>
      <c r="I258" s="95">
        <f t="shared" si="86"/>
        <v>81.961600000000089</v>
      </c>
      <c r="J258" s="95">
        <f t="shared" si="86"/>
        <v>83.977664000000004</v>
      </c>
      <c r="K258" s="95">
        <f t="shared" si="86"/>
        <v>86.049782079999886</v>
      </c>
      <c r="L258" s="95">
        <f t="shared" si="86"/>
        <v>88.179591584000036</v>
      </c>
      <c r="M258" s="95">
        <f t="shared" si="86"/>
        <v>90.368778533535988</v>
      </c>
      <c r="N258" s="155"/>
    </row>
    <row r="259" spans="1:15" s="22" customFormat="1" x14ac:dyDescent="0.25">
      <c r="A259" s="47"/>
      <c r="B259" s="47" t="s">
        <v>228</v>
      </c>
      <c r="C259" s="47" t="s">
        <v>153</v>
      </c>
      <c r="D259" s="27"/>
      <c r="E259" s="35">
        <f t="shared" ref="E259:M259" si="87">E80-D80</f>
        <v>42.300000000000011</v>
      </c>
      <c r="F259" s="35">
        <f t="shared" si="87"/>
        <v>62.899999999999977</v>
      </c>
      <c r="G259" s="35">
        <f t="shared" si="87"/>
        <v>93</v>
      </c>
      <c r="H259" s="35">
        <f t="shared" si="87"/>
        <v>-26.899999999999977</v>
      </c>
      <c r="I259" s="95">
        <f t="shared" si="87"/>
        <v>21.298399999999958</v>
      </c>
      <c r="J259" s="95">
        <f t="shared" si="87"/>
        <v>10.584336000000064</v>
      </c>
      <c r="K259" s="95">
        <f t="shared" si="87"/>
        <v>10.878619920000006</v>
      </c>
      <c r="L259" s="95">
        <f t="shared" si="87"/>
        <v>11.181499895999991</v>
      </c>
      <c r="M259" s="95">
        <f t="shared" si="87"/>
        <v>11.493231485064086</v>
      </c>
      <c r="N259" s="155"/>
      <c r="O259" s="155"/>
    </row>
    <row r="260" spans="1:15" s="22" customFormat="1" x14ac:dyDescent="0.25">
      <c r="A260" s="47"/>
      <c r="B260" s="50" t="s">
        <v>229</v>
      </c>
      <c r="C260" s="47" t="s">
        <v>153</v>
      </c>
      <c r="D260" s="27"/>
      <c r="E260" s="27">
        <f t="shared" ref="E260:M260" si="88">E257+E258+E259</f>
        <v>129.80000000000001</v>
      </c>
      <c r="F260" s="27">
        <f t="shared" si="88"/>
        <v>76.200000000000017</v>
      </c>
      <c r="G260" s="27">
        <f t="shared" si="88"/>
        <v>328.00000000000011</v>
      </c>
      <c r="H260" s="27">
        <f t="shared" si="88"/>
        <v>173.39999999999989</v>
      </c>
      <c r="I260" s="154">
        <f t="shared" si="88"/>
        <v>60.625519746074247</v>
      </c>
      <c r="J260" s="154">
        <f t="shared" si="88"/>
        <v>110.45062867490824</v>
      </c>
      <c r="K260" s="154">
        <f t="shared" si="88"/>
        <v>113.25879366598051</v>
      </c>
      <c r="L260" s="154">
        <f t="shared" si="88"/>
        <v>116.14615006809359</v>
      </c>
      <c r="M260" s="154">
        <f t="shared" si="88"/>
        <v>119.11502308819144</v>
      </c>
      <c r="N260" s="155"/>
      <c r="O260" s="155"/>
    </row>
    <row r="261" spans="1:15" s="22" customFormat="1" x14ac:dyDescent="0.25">
      <c r="A261" s="47"/>
      <c r="B261" s="47"/>
      <c r="C261" s="47"/>
      <c r="D261" s="27"/>
      <c r="E261" s="27"/>
      <c r="F261" s="27"/>
      <c r="G261" s="27"/>
      <c r="H261" s="27"/>
      <c r="I261" s="94"/>
      <c r="J261" s="94"/>
      <c r="K261" s="94"/>
      <c r="L261" s="94"/>
      <c r="M261" s="94"/>
      <c r="N261" s="155"/>
    </row>
    <row r="262" spans="1:15" s="22" customFormat="1" x14ac:dyDescent="0.25">
      <c r="A262" s="50" t="s">
        <v>230</v>
      </c>
      <c r="B262" s="47"/>
      <c r="C262" s="47"/>
      <c r="D262" s="27"/>
      <c r="E262" s="27"/>
      <c r="F262" s="27"/>
      <c r="G262" s="27"/>
      <c r="H262" s="27"/>
      <c r="I262" s="94"/>
      <c r="J262" s="94"/>
      <c r="K262" s="94"/>
      <c r="L262" s="94"/>
      <c r="M262" s="94"/>
      <c r="N262" s="155"/>
    </row>
    <row r="263" spans="1:15" s="22" customFormat="1" x14ac:dyDescent="0.25">
      <c r="A263" s="52"/>
      <c r="B263" s="52" t="str">
        <f>B9</f>
        <v>Fiscal year</v>
      </c>
      <c r="C263" s="52"/>
      <c r="D263" s="75">
        <f t="shared" ref="D263:M263" si="89">D9</f>
        <v>2016</v>
      </c>
      <c r="E263" s="75">
        <f t="shared" si="89"/>
        <v>2017</v>
      </c>
      <c r="F263" s="75">
        <f t="shared" si="89"/>
        <v>2018</v>
      </c>
      <c r="G263" s="75">
        <f t="shared" si="89"/>
        <v>2019</v>
      </c>
      <c r="H263" s="75">
        <f t="shared" si="89"/>
        <v>2020</v>
      </c>
      <c r="I263" s="106">
        <f t="shared" si="89"/>
        <v>2021</v>
      </c>
      <c r="J263" s="106">
        <f t="shared" si="89"/>
        <v>2022</v>
      </c>
      <c r="K263" s="106">
        <f t="shared" si="89"/>
        <v>2023</v>
      </c>
      <c r="L263" s="106">
        <f t="shared" si="89"/>
        <v>2024</v>
      </c>
      <c r="M263" s="106">
        <f t="shared" si="89"/>
        <v>2025</v>
      </c>
      <c r="N263" s="155"/>
    </row>
    <row r="264" spans="1:15" s="22" customFormat="1" x14ac:dyDescent="0.25">
      <c r="A264" s="56"/>
      <c r="B264" s="56" t="str">
        <f>B10</f>
        <v>Fiscal year end date</v>
      </c>
      <c r="C264" s="56" t="str">
        <f>C10</f>
        <v>Units</v>
      </c>
      <c r="D264" s="23">
        <f t="shared" ref="D264:M264" si="90">D10</f>
        <v>42643</v>
      </c>
      <c r="E264" s="23">
        <f t="shared" si="90"/>
        <v>43008</v>
      </c>
      <c r="F264" s="23">
        <f t="shared" si="90"/>
        <v>43373</v>
      </c>
      <c r="G264" s="23">
        <f t="shared" si="90"/>
        <v>43738</v>
      </c>
      <c r="H264" s="23">
        <f t="shared" si="90"/>
        <v>44103</v>
      </c>
      <c r="I264" s="90">
        <f t="shared" si="90"/>
        <v>44469</v>
      </c>
      <c r="J264" s="90">
        <f t="shared" si="90"/>
        <v>44834</v>
      </c>
      <c r="K264" s="90">
        <f t="shared" si="90"/>
        <v>45199</v>
      </c>
      <c r="L264" s="90">
        <f t="shared" si="90"/>
        <v>45565</v>
      </c>
      <c r="M264" s="90">
        <f t="shared" si="90"/>
        <v>45930</v>
      </c>
      <c r="N264" s="155"/>
    </row>
    <row r="265" spans="1:15" s="22" customFormat="1" x14ac:dyDescent="0.25">
      <c r="A265" s="47"/>
      <c r="B265" s="47"/>
      <c r="C265" s="47"/>
      <c r="D265" s="27"/>
      <c r="E265" s="27"/>
      <c r="F265" s="27"/>
      <c r="G265" s="27"/>
      <c r="H265" s="27"/>
      <c r="I265" s="94"/>
      <c r="J265" s="94"/>
      <c r="K265" s="94"/>
      <c r="L265" s="94"/>
      <c r="M265" s="94"/>
      <c r="N265" s="155"/>
    </row>
    <row r="266" spans="1:15" s="22" customFormat="1" x14ac:dyDescent="0.25">
      <c r="A266" s="47"/>
      <c r="B266" s="50" t="s">
        <v>231</v>
      </c>
      <c r="C266" s="47"/>
      <c r="D266" s="27"/>
      <c r="E266" s="27"/>
      <c r="F266" s="27"/>
      <c r="G266" s="27"/>
      <c r="H266" s="27"/>
      <c r="I266" s="94"/>
      <c r="J266" s="94"/>
      <c r="K266" s="94"/>
      <c r="L266" s="94"/>
      <c r="M266" s="94"/>
      <c r="N266" s="155"/>
    </row>
    <row r="267" spans="1:15" s="22" customFormat="1" x14ac:dyDescent="0.25">
      <c r="A267" s="47"/>
      <c r="B267" s="55" t="s">
        <v>232</v>
      </c>
      <c r="C267" s="47"/>
      <c r="D267" s="27"/>
      <c r="E267" s="35">
        <f t="shared" ref="E267:M267" si="91">E84-D84</f>
        <v>20.599999999999994</v>
      </c>
      <c r="F267" s="35">
        <f t="shared" si="91"/>
        <v>-29.199999999999989</v>
      </c>
      <c r="G267" s="35">
        <f t="shared" si="91"/>
        <v>31.199999999999989</v>
      </c>
      <c r="H267" s="35">
        <f t="shared" si="91"/>
        <v>103.60000000000002</v>
      </c>
      <c r="I267" s="109">
        <f t="shared" si="91"/>
        <v>-171.31488219178084</v>
      </c>
      <c r="J267" s="109">
        <f t="shared" si="91"/>
        <v>2.6512622465753424</v>
      </c>
      <c r="K267" s="109">
        <f t="shared" si="91"/>
        <v>2.7249772010958822</v>
      </c>
      <c r="L267" s="109">
        <f t="shared" si="91"/>
        <v>2.8008453751232878</v>
      </c>
      <c r="M267" s="109">
        <f t="shared" si="91"/>
        <v>2.8789307829514712</v>
      </c>
      <c r="N267" s="155"/>
    </row>
    <row r="268" spans="1:15" s="22" customFormat="1" x14ac:dyDescent="0.25">
      <c r="A268" s="47"/>
      <c r="B268" s="55" t="s">
        <v>233</v>
      </c>
      <c r="C268" s="47"/>
      <c r="D268" s="27"/>
      <c r="E268" s="35">
        <f t="shared" ref="E268:M268" si="92">E85-D85</f>
        <v>13.099999999999966</v>
      </c>
      <c r="F268" s="35">
        <f t="shared" si="92"/>
        <v>14.799999999999784</v>
      </c>
      <c r="G268" s="35">
        <f t="shared" si="92"/>
        <v>255.19999999999987</v>
      </c>
      <c r="H268" s="35">
        <f t="shared" si="92"/>
        <v>-72.299999999999557</v>
      </c>
      <c r="I268" s="109">
        <f t="shared" si="92"/>
        <v>1.8367999999999824</v>
      </c>
      <c r="J268" s="109">
        <f t="shared" si="92"/>
        <v>8.568271999999979</v>
      </c>
      <c r="K268" s="109">
        <f t="shared" si="92"/>
        <v>8.8065018400000099</v>
      </c>
      <c r="L268" s="109">
        <f t="shared" si="92"/>
        <v>9.0516903920000118</v>
      </c>
      <c r="M268" s="109">
        <f t="shared" si="92"/>
        <v>9.3040445355280781</v>
      </c>
      <c r="N268" s="155"/>
    </row>
    <row r="269" spans="1:15" s="22" customFormat="1" x14ac:dyDescent="0.25">
      <c r="A269" s="47"/>
      <c r="B269" s="55" t="s">
        <v>234</v>
      </c>
      <c r="C269" s="47"/>
      <c r="D269" s="27"/>
      <c r="E269" s="35">
        <f t="shared" ref="E269:M269" si="93">E89-D89</f>
        <v>-9.3000000000000043</v>
      </c>
      <c r="F269" s="35">
        <f t="shared" si="93"/>
        <v>-11.799999999999997</v>
      </c>
      <c r="G269" s="35">
        <f t="shared" si="93"/>
        <v>-21.5</v>
      </c>
      <c r="H269" s="35">
        <f t="shared" si="93"/>
        <v>0</v>
      </c>
      <c r="I269" s="109">
        <f t="shared" si="93"/>
        <v>0</v>
      </c>
      <c r="J269" s="109">
        <f t="shared" si="93"/>
        <v>0</v>
      </c>
      <c r="K269" s="109">
        <f t="shared" si="93"/>
        <v>0</v>
      </c>
      <c r="L269" s="109">
        <f t="shared" si="93"/>
        <v>0</v>
      </c>
      <c r="M269" s="109">
        <f t="shared" si="93"/>
        <v>0</v>
      </c>
      <c r="N269" s="155"/>
    </row>
    <row r="270" spans="1:15" s="22" customFormat="1" x14ac:dyDescent="0.25">
      <c r="A270" s="47"/>
      <c r="B270" s="50" t="s">
        <v>235</v>
      </c>
      <c r="C270" s="47"/>
      <c r="D270" s="27"/>
      <c r="E270" s="27">
        <f>SUM(E267:E269)</f>
        <v>24.399999999999956</v>
      </c>
      <c r="F270" s="27">
        <f t="shared" ref="F270:M270" si="94">SUM(F267:F269)</f>
        <v>-26.200000000000202</v>
      </c>
      <c r="G270" s="27">
        <f t="shared" si="94"/>
        <v>264.89999999999986</v>
      </c>
      <c r="H270" s="27">
        <f t="shared" si="94"/>
        <v>31.300000000000466</v>
      </c>
      <c r="I270" s="94">
        <f t="shared" si="94"/>
        <v>-169.47808219178086</v>
      </c>
      <c r="J270" s="94">
        <f t="shared" si="94"/>
        <v>11.219534246575321</v>
      </c>
      <c r="K270" s="94">
        <f t="shared" si="94"/>
        <v>11.531479041095892</v>
      </c>
      <c r="L270" s="94">
        <f t="shared" si="94"/>
        <v>11.8525357671233</v>
      </c>
      <c r="M270" s="94">
        <f t="shared" si="94"/>
        <v>12.182975318479549</v>
      </c>
      <c r="N270" s="155"/>
      <c r="O270" s="155"/>
    </row>
    <row r="271" spans="1:15" s="22" customFormat="1" x14ac:dyDescent="0.25">
      <c r="A271" s="47"/>
      <c r="B271" s="50" t="s">
        <v>236</v>
      </c>
      <c r="C271" s="47"/>
      <c r="D271" s="27"/>
      <c r="E271" s="35"/>
      <c r="F271" s="35"/>
      <c r="G271" s="35"/>
      <c r="H271" s="35"/>
      <c r="I271" s="109"/>
      <c r="J271" s="109"/>
      <c r="K271" s="109"/>
      <c r="L271" s="109"/>
      <c r="M271" s="109"/>
      <c r="N271" s="155"/>
    </row>
    <row r="272" spans="1:15" s="22" customFormat="1" x14ac:dyDescent="0.25">
      <c r="A272" s="47"/>
      <c r="B272" s="47" t="s">
        <v>74</v>
      </c>
      <c r="C272" s="47" t="s">
        <v>153</v>
      </c>
      <c r="D272" s="27"/>
      <c r="E272" s="35">
        <f t="shared" ref="E272:M272" si="95">E25</f>
        <v>81.500000000000057</v>
      </c>
      <c r="F272" s="35">
        <f t="shared" si="95"/>
        <v>71.700000000000045</v>
      </c>
      <c r="G272" s="35">
        <f t="shared" si="95"/>
        <v>92.999999999999943</v>
      </c>
      <c r="H272" s="35">
        <f t="shared" si="95"/>
        <v>127.79999999999993</v>
      </c>
      <c r="I272" s="109">
        <f t="shared" si="95"/>
        <v>113.18027999999998</v>
      </c>
      <c r="J272" s="109">
        <f t="shared" si="95"/>
        <v>149.3765952</v>
      </c>
      <c r="K272" s="109">
        <f t="shared" si="95"/>
        <v>153.10640774399999</v>
      </c>
      <c r="L272" s="109">
        <f t="shared" si="95"/>
        <v>156.94006485120002</v>
      </c>
      <c r="M272" s="109">
        <f t="shared" si="95"/>
        <v>160.88060136036484</v>
      </c>
      <c r="N272" s="155"/>
    </row>
    <row r="273" spans="1:14" s="22" customFormat="1" x14ac:dyDescent="0.25">
      <c r="A273" s="47"/>
      <c r="B273" s="55" t="s">
        <v>237</v>
      </c>
      <c r="C273" s="47" t="s">
        <v>153</v>
      </c>
      <c r="D273" s="27"/>
      <c r="E273" s="35">
        <f t="shared" ref="E273:M273" si="96">E18</f>
        <v>53.6</v>
      </c>
      <c r="F273" s="35">
        <f t="shared" si="96"/>
        <v>54.3</v>
      </c>
      <c r="G273" s="35">
        <f t="shared" si="96"/>
        <v>49.9</v>
      </c>
      <c r="H273" s="35">
        <f t="shared" si="96"/>
        <v>53.8</v>
      </c>
      <c r="I273" s="109">
        <f t="shared" si="96"/>
        <v>55.978999999999999</v>
      </c>
      <c r="J273" s="109">
        <f t="shared" si="96"/>
        <v>57.408042999999999</v>
      </c>
      <c r="K273" s="109">
        <f t="shared" si="96"/>
        <v>58.869372155000008</v>
      </c>
      <c r="L273" s="109">
        <f t="shared" si="96"/>
        <v>60.364294700874993</v>
      </c>
      <c r="M273" s="109">
        <f t="shared" si="96"/>
        <v>61.894136029446869</v>
      </c>
      <c r="N273" s="155"/>
    </row>
    <row r="274" spans="1:14" s="22" customFormat="1" x14ac:dyDescent="0.25">
      <c r="A274" s="47"/>
      <c r="B274" s="55" t="s">
        <v>238</v>
      </c>
      <c r="C274" s="47" t="s">
        <v>153</v>
      </c>
      <c r="D274" s="27"/>
      <c r="E274" s="35">
        <f t="shared" ref="E274:M274" si="97">E27</f>
        <v>32.6</v>
      </c>
      <c r="F274" s="35">
        <f t="shared" si="97"/>
        <v>43.1</v>
      </c>
      <c r="G274" s="35">
        <f t="shared" si="97"/>
        <v>55.8</v>
      </c>
      <c r="H274" s="35">
        <f t="shared" si="97"/>
        <v>76.7</v>
      </c>
      <c r="I274" s="109">
        <f t="shared" si="97"/>
        <v>59.985548399999992</v>
      </c>
      <c r="J274" s="109">
        <f t="shared" si="97"/>
        <v>79.169595455999996</v>
      </c>
      <c r="K274" s="109">
        <f t="shared" si="97"/>
        <v>81.146396104320004</v>
      </c>
      <c r="L274" s="109">
        <f t="shared" si="97"/>
        <v>83.178234371136014</v>
      </c>
      <c r="M274" s="109">
        <f t="shared" si="97"/>
        <v>85.266718720993367</v>
      </c>
      <c r="N274" s="155"/>
    </row>
    <row r="275" spans="1:14" s="22" customFormat="1" x14ac:dyDescent="0.25">
      <c r="A275" s="47"/>
      <c r="B275" s="50" t="s">
        <v>239</v>
      </c>
      <c r="C275" s="47" t="s">
        <v>153</v>
      </c>
      <c r="D275" s="27"/>
      <c r="E275" s="27">
        <f t="shared" ref="E275:M275" si="98">E272+E273-E274</f>
        <v>102.50000000000006</v>
      </c>
      <c r="F275" s="27">
        <f t="shared" si="98"/>
        <v>82.900000000000034</v>
      </c>
      <c r="G275" s="27">
        <f t="shared" si="98"/>
        <v>87.099999999999952</v>
      </c>
      <c r="H275" s="27">
        <f t="shared" si="98"/>
        <v>104.89999999999991</v>
      </c>
      <c r="I275" s="94">
        <f t="shared" si="98"/>
        <v>109.17373159999997</v>
      </c>
      <c r="J275" s="94">
        <f t="shared" si="98"/>
        <v>127.61504274399999</v>
      </c>
      <c r="K275" s="94">
        <f t="shared" si="98"/>
        <v>130.82938379467998</v>
      </c>
      <c r="L275" s="94">
        <f t="shared" si="98"/>
        <v>134.12612518093903</v>
      </c>
      <c r="M275" s="94">
        <f t="shared" si="98"/>
        <v>137.50801866881835</v>
      </c>
      <c r="N275" s="155"/>
    </row>
    <row r="276" spans="1:14" s="22" customFormat="1" x14ac:dyDescent="0.25">
      <c r="A276" s="47"/>
      <c r="B276" s="50" t="s">
        <v>240</v>
      </c>
      <c r="C276" s="47"/>
      <c r="D276" s="27"/>
      <c r="E276" s="27">
        <f t="shared" ref="E276:M276" si="99">E270+E275</f>
        <v>126.9</v>
      </c>
      <c r="F276" s="27">
        <f t="shared" si="99"/>
        <v>56.699999999999832</v>
      </c>
      <c r="G276" s="27">
        <f t="shared" si="99"/>
        <v>351.99999999999983</v>
      </c>
      <c r="H276" s="27">
        <f t="shared" si="99"/>
        <v>136.20000000000039</v>
      </c>
      <c r="I276" s="94">
        <f t="shared" si="99"/>
        <v>-60.304350591780889</v>
      </c>
      <c r="J276" s="94">
        <f t="shared" si="99"/>
        <v>138.83457699057533</v>
      </c>
      <c r="K276" s="94">
        <f t="shared" si="99"/>
        <v>142.36086283577589</v>
      </c>
      <c r="L276" s="94">
        <f t="shared" si="99"/>
        <v>145.97866094806233</v>
      </c>
      <c r="M276" s="94">
        <f t="shared" si="99"/>
        <v>149.6909939872979</v>
      </c>
      <c r="N276" s="155"/>
    </row>
    <row r="277" spans="1:14" s="22" customFormat="1" x14ac:dyDescent="0.25">
      <c r="A277" s="47"/>
      <c r="B277" s="50" t="s">
        <v>243</v>
      </c>
      <c r="C277" s="50"/>
      <c r="D277" s="27"/>
      <c r="E277" s="27">
        <f>E260-E276</f>
        <v>2.9000000000000057</v>
      </c>
      <c r="F277" s="27">
        <f>F260-F276</f>
        <v>19.500000000000185</v>
      </c>
      <c r="G277" s="27">
        <f t="shared" ref="G277:M277" si="100">G260-G276</f>
        <v>-23.999999999999716</v>
      </c>
      <c r="H277" s="27">
        <f t="shared" si="100"/>
        <v>37.199999999999505</v>
      </c>
      <c r="I277" s="94">
        <f t="shared" si="100"/>
        <v>120.92987033785514</v>
      </c>
      <c r="J277" s="94">
        <f t="shared" si="100"/>
        <v>-28.383948315667084</v>
      </c>
      <c r="K277" s="94">
        <f t="shared" si="100"/>
        <v>-29.102069169795385</v>
      </c>
      <c r="L277" s="94">
        <f t="shared" si="100"/>
        <v>-29.832510879968737</v>
      </c>
      <c r="M277" s="94">
        <f t="shared" si="100"/>
        <v>-30.575970899106466</v>
      </c>
      <c r="N277" s="155"/>
    </row>
    <row r="278" spans="1:14" s="22" customFormat="1" x14ac:dyDescent="0.25">
      <c r="A278" s="47"/>
      <c r="B278" s="50"/>
      <c r="C278" s="50"/>
      <c r="D278" s="27"/>
      <c r="E278" s="27"/>
      <c r="F278" s="27"/>
      <c r="G278" s="27"/>
      <c r="H278" s="27"/>
      <c r="I278" s="94"/>
      <c r="J278" s="94"/>
      <c r="K278" s="94"/>
      <c r="L278" s="94"/>
      <c r="M278" s="94"/>
      <c r="N278" s="155"/>
    </row>
    <row r="279" spans="1:14" s="22" customFormat="1" x14ac:dyDescent="0.25">
      <c r="A279" s="47"/>
      <c r="B279" s="50"/>
      <c r="C279" s="50"/>
      <c r="D279" s="27"/>
      <c r="E279" s="27"/>
      <c r="F279" s="27"/>
      <c r="G279" s="27"/>
      <c r="H279" s="27"/>
      <c r="I279" s="94"/>
      <c r="J279" s="94"/>
      <c r="K279" s="94"/>
      <c r="L279" s="94"/>
      <c r="M279" s="94"/>
      <c r="N279" s="155"/>
    </row>
    <row r="280" spans="1:14" s="22" customFormat="1" x14ac:dyDescent="0.25">
      <c r="A280" s="50" t="s">
        <v>244</v>
      </c>
      <c r="B280" s="50"/>
      <c r="C280" s="50"/>
      <c r="D280" s="27"/>
      <c r="E280" s="27"/>
      <c r="F280" s="27"/>
      <c r="G280" s="27"/>
      <c r="H280" s="27"/>
      <c r="I280" s="94"/>
      <c r="J280" s="94"/>
      <c r="K280" s="94"/>
      <c r="L280" s="94"/>
      <c r="M280" s="94"/>
      <c r="N280" s="155"/>
    </row>
    <row r="281" spans="1:14" s="22" customFormat="1" x14ac:dyDescent="0.25">
      <c r="A281" s="52"/>
      <c r="B281" s="125" t="str">
        <f>B9</f>
        <v>Fiscal year</v>
      </c>
      <c r="C281" s="125"/>
      <c r="D281" s="75">
        <f t="shared" ref="D281:M281" si="101">D9</f>
        <v>2016</v>
      </c>
      <c r="E281" s="75">
        <f t="shared" si="101"/>
        <v>2017</v>
      </c>
      <c r="F281" s="75">
        <f t="shared" si="101"/>
        <v>2018</v>
      </c>
      <c r="G281" s="75">
        <f t="shared" si="101"/>
        <v>2019</v>
      </c>
      <c r="H281" s="75">
        <f t="shared" si="101"/>
        <v>2020</v>
      </c>
      <c r="I281" s="106">
        <f t="shared" si="101"/>
        <v>2021</v>
      </c>
      <c r="J281" s="106">
        <f t="shared" si="101"/>
        <v>2022</v>
      </c>
      <c r="K281" s="106">
        <f t="shared" si="101"/>
        <v>2023</v>
      </c>
      <c r="L281" s="106">
        <f t="shared" si="101"/>
        <v>2024</v>
      </c>
      <c r="M281" s="106">
        <f t="shared" si="101"/>
        <v>2025</v>
      </c>
      <c r="N281" s="155"/>
    </row>
    <row r="282" spans="1:14" s="22" customFormat="1" x14ac:dyDescent="0.25">
      <c r="A282" s="56"/>
      <c r="B282" s="158" t="str">
        <f>B10</f>
        <v>Fiscal year end date</v>
      </c>
      <c r="C282" s="158" t="str">
        <f>C10</f>
        <v>Units</v>
      </c>
      <c r="D282" s="44">
        <f t="shared" ref="D282:M282" si="102">D10</f>
        <v>42643</v>
      </c>
      <c r="E282" s="44">
        <f t="shared" si="102"/>
        <v>43008</v>
      </c>
      <c r="F282" s="44">
        <f t="shared" si="102"/>
        <v>43373</v>
      </c>
      <c r="G282" s="44">
        <f t="shared" si="102"/>
        <v>43738</v>
      </c>
      <c r="H282" s="44">
        <f t="shared" si="102"/>
        <v>44103</v>
      </c>
      <c r="I282" s="119">
        <f t="shared" si="102"/>
        <v>44469</v>
      </c>
      <c r="J282" s="119">
        <f t="shared" si="102"/>
        <v>44834</v>
      </c>
      <c r="K282" s="119">
        <f t="shared" si="102"/>
        <v>45199</v>
      </c>
      <c r="L282" s="119">
        <f t="shared" si="102"/>
        <v>45565</v>
      </c>
      <c r="M282" s="119">
        <f t="shared" si="102"/>
        <v>45930</v>
      </c>
      <c r="N282" s="155"/>
    </row>
    <row r="283" spans="1:14" s="22" customFormat="1" x14ac:dyDescent="0.25">
      <c r="A283" s="47"/>
      <c r="B283" s="50"/>
      <c r="C283" s="50"/>
      <c r="D283" s="27"/>
      <c r="E283" s="27"/>
      <c r="F283" s="27"/>
      <c r="G283" s="27"/>
      <c r="H283" s="27"/>
      <c r="I283" s="94"/>
      <c r="J283" s="94"/>
      <c r="K283" s="94"/>
      <c r="L283" s="94"/>
      <c r="M283" s="94"/>
      <c r="N283" s="155"/>
    </row>
    <row r="284" spans="1:14" s="22" customFormat="1" x14ac:dyDescent="0.25">
      <c r="A284" s="47"/>
      <c r="B284" s="55" t="s">
        <v>245</v>
      </c>
      <c r="C284" s="47" t="s">
        <v>153</v>
      </c>
      <c r="D284" s="27"/>
      <c r="E284" s="27"/>
      <c r="F284" s="27"/>
      <c r="G284" s="27"/>
      <c r="H284" s="27"/>
      <c r="I284" s="109">
        <f>I179-H179</f>
        <v>0</v>
      </c>
      <c r="J284" s="109">
        <f>J179-I179</f>
        <v>0</v>
      </c>
      <c r="K284" s="109">
        <f>K179-J179</f>
        <v>0</v>
      </c>
      <c r="L284" s="109">
        <f>L179-K179</f>
        <v>0</v>
      </c>
      <c r="M284" s="109">
        <f>M179-L179</f>
        <v>0</v>
      </c>
      <c r="N284" s="155"/>
    </row>
    <row r="285" spans="1:14" s="22" customFormat="1" x14ac:dyDescent="0.25">
      <c r="A285" s="47"/>
      <c r="B285" s="55" t="s">
        <v>247</v>
      </c>
      <c r="C285" s="47" t="s">
        <v>153</v>
      </c>
      <c r="D285" s="27"/>
      <c r="E285" s="27"/>
      <c r="F285" s="27"/>
      <c r="G285" s="27"/>
      <c r="H285" s="27"/>
      <c r="I285" s="109">
        <f>I196-H196</f>
        <v>0</v>
      </c>
      <c r="J285" s="109">
        <f>J196-I196</f>
        <v>0</v>
      </c>
      <c r="K285" s="109">
        <f>K196-J196</f>
        <v>0</v>
      </c>
      <c r="L285" s="109">
        <f>L196-K196</f>
        <v>0</v>
      </c>
      <c r="M285" s="109">
        <f>M196-L196</f>
        <v>0</v>
      </c>
      <c r="N285" s="155"/>
    </row>
    <row r="286" spans="1:14" s="22" customFormat="1" x14ac:dyDescent="0.25">
      <c r="A286" s="47"/>
      <c r="B286" s="50" t="s">
        <v>248</v>
      </c>
      <c r="C286" s="47" t="s">
        <v>153</v>
      </c>
      <c r="D286" s="27"/>
      <c r="E286" s="27"/>
      <c r="F286" s="27"/>
      <c r="G286" s="27"/>
      <c r="H286" s="27"/>
      <c r="I286" s="94">
        <f>I277-I284-I285</f>
        <v>120.92987033785514</v>
      </c>
      <c r="J286" s="94">
        <f>J277-J284-J285</f>
        <v>-28.383948315667084</v>
      </c>
      <c r="K286" s="94">
        <f>K277-K284-K285</f>
        <v>-29.102069169795385</v>
      </c>
      <c r="L286" s="94">
        <f>L277-L284-L285</f>
        <v>-29.832510879968737</v>
      </c>
      <c r="M286" s="94">
        <f>M277-M284-M285</f>
        <v>-30.575970899106466</v>
      </c>
      <c r="N286" s="155"/>
    </row>
    <row r="287" spans="1:14" s="22" customFormat="1" x14ac:dyDescent="0.25">
      <c r="A287" s="47"/>
      <c r="B287" s="55"/>
      <c r="C287" s="50"/>
      <c r="D287" s="27"/>
      <c r="E287" s="27"/>
      <c r="F287" s="27"/>
      <c r="G287" s="27"/>
      <c r="H287" s="27"/>
      <c r="I287" s="94"/>
      <c r="J287" s="94"/>
      <c r="K287" s="94"/>
      <c r="L287" s="94"/>
      <c r="M287" s="94"/>
      <c r="N287" s="155"/>
    </row>
    <row r="288" spans="1:14" s="11" customFormat="1" x14ac:dyDescent="0.25">
      <c r="A288" s="54"/>
      <c r="B288" s="50" t="s">
        <v>249</v>
      </c>
      <c r="C288" s="54"/>
      <c r="D288" s="156"/>
      <c r="E288" s="156"/>
      <c r="F288" s="156"/>
      <c r="G288" s="156"/>
      <c r="H288" s="156"/>
      <c r="I288" s="157"/>
      <c r="J288" s="157"/>
      <c r="K288" s="157"/>
      <c r="L288" s="157"/>
      <c r="M288" s="157"/>
    </row>
    <row r="289" spans="1:13" s="22" customFormat="1" x14ac:dyDescent="0.25">
      <c r="A289" s="47"/>
      <c r="B289" s="69" t="s">
        <v>211</v>
      </c>
      <c r="C289" s="47"/>
      <c r="D289" s="27"/>
      <c r="E289" s="27"/>
      <c r="F289" s="27"/>
      <c r="G289" s="27"/>
      <c r="H289" s="27"/>
      <c r="I289" s="94"/>
      <c r="J289" s="94"/>
      <c r="K289" s="94"/>
      <c r="L289" s="94"/>
      <c r="M289" s="94"/>
    </row>
    <row r="290" spans="1:13" s="22" customFormat="1" x14ac:dyDescent="0.25">
      <c r="A290" s="47"/>
      <c r="B290" s="47" t="s">
        <v>212</v>
      </c>
      <c r="C290" s="47" t="s">
        <v>153</v>
      </c>
      <c r="D290" s="27"/>
      <c r="E290" s="27"/>
      <c r="F290" s="27"/>
      <c r="G290" s="27"/>
      <c r="H290" s="27"/>
      <c r="I290" s="109">
        <f>H72</f>
        <v>21.425000000000011</v>
      </c>
      <c r="J290" s="109">
        <f>I72</f>
        <v>9.2370555648813024E-14</v>
      </c>
      <c r="K290" s="109">
        <f>J72</f>
        <v>9.2370555648813024E-14</v>
      </c>
      <c r="L290" s="109">
        <f>K72</f>
        <v>-1.0658141036401503E-13</v>
      </c>
      <c r="M290" s="109">
        <f>L72</f>
        <v>7.1054273576010019E-15</v>
      </c>
    </row>
    <row r="291" spans="1:13" s="22" customFormat="1" x14ac:dyDescent="0.25">
      <c r="A291" s="47"/>
      <c r="B291" s="47" t="s">
        <v>250</v>
      </c>
      <c r="C291" s="47" t="s">
        <v>153</v>
      </c>
      <c r="D291" s="27"/>
      <c r="E291" s="27"/>
      <c r="F291" s="27"/>
      <c r="G291" s="27"/>
      <c r="H291" s="27"/>
      <c r="I291" s="109">
        <f>I286</f>
        <v>120.92987033785514</v>
      </c>
      <c r="J291" s="109">
        <f>J286</f>
        <v>-28.383948315667084</v>
      </c>
      <c r="K291" s="109">
        <f>K286</f>
        <v>-29.102069169795385</v>
      </c>
      <c r="L291" s="109">
        <f>L286</f>
        <v>-29.832510879968737</v>
      </c>
      <c r="M291" s="109">
        <f>M286</f>
        <v>-30.575970899106466</v>
      </c>
    </row>
    <row r="292" spans="1:13" s="22" customFormat="1" x14ac:dyDescent="0.25">
      <c r="A292" s="47"/>
      <c r="B292" s="50" t="s">
        <v>219</v>
      </c>
      <c r="C292" s="47" t="s">
        <v>153</v>
      </c>
      <c r="D292" s="27"/>
      <c r="E292" s="27"/>
      <c r="F292" s="27"/>
      <c r="G292" s="27"/>
      <c r="H292" s="27"/>
      <c r="I292" s="94">
        <f>I290-I291</f>
        <v>-99.504870337855124</v>
      </c>
      <c r="J292" s="94">
        <f>J290-J291</f>
        <v>28.383948315667176</v>
      </c>
      <c r="K292" s="94">
        <f>K290-K291</f>
        <v>29.102069169795477</v>
      </c>
      <c r="L292" s="94">
        <f>L290-L291</f>
        <v>29.83251087996863</v>
      </c>
      <c r="M292" s="94">
        <f>M290-M291</f>
        <v>30.575970899106473</v>
      </c>
    </row>
    <row r="293" spans="1:13" s="22" customFormat="1" x14ac:dyDescent="0.25">
      <c r="A293" s="47"/>
      <c r="B293" s="57"/>
      <c r="C293" s="47"/>
      <c r="D293" s="27"/>
      <c r="E293" s="27"/>
      <c r="F293" s="27"/>
      <c r="G293" s="27"/>
      <c r="H293" s="27"/>
      <c r="I293" s="94"/>
      <c r="J293" s="94"/>
      <c r="K293" s="94"/>
      <c r="L293" s="94"/>
      <c r="M293" s="94"/>
    </row>
    <row r="294" spans="1:13" s="22" customFormat="1" x14ac:dyDescent="0.25">
      <c r="A294" s="47"/>
      <c r="B294" s="50" t="s">
        <v>241</v>
      </c>
      <c r="C294" s="47"/>
      <c r="D294" s="27"/>
      <c r="E294" s="27"/>
      <c r="F294" s="27"/>
      <c r="G294" s="27"/>
      <c r="H294" s="27"/>
      <c r="I294" s="94"/>
      <c r="J294" s="94"/>
      <c r="K294" s="94"/>
      <c r="L294" s="94"/>
      <c r="M294" s="94"/>
    </row>
    <row r="295" spans="1:13" s="22" customFormat="1" x14ac:dyDescent="0.25">
      <c r="A295" s="47"/>
      <c r="B295" s="57" t="s">
        <v>136</v>
      </c>
      <c r="C295" s="47" t="s">
        <v>153</v>
      </c>
      <c r="D295" s="35"/>
      <c r="E295" s="35">
        <f t="shared" ref="E295:M295" si="103">D297</f>
        <v>8.6999999999999993</v>
      </c>
      <c r="F295" s="35">
        <f t="shared" si="103"/>
        <v>30.8</v>
      </c>
      <c r="G295" s="35">
        <f t="shared" si="103"/>
        <v>47.400000000000006</v>
      </c>
      <c r="H295" s="35">
        <f t="shared" si="103"/>
        <v>6.8999999999999986</v>
      </c>
      <c r="I295" s="109">
        <f t="shared" si="103"/>
        <v>6.9999999999999982</v>
      </c>
      <c r="J295" s="109">
        <f t="shared" si="103"/>
        <v>106.50487033785512</v>
      </c>
      <c r="K295" s="109">
        <f t="shared" si="103"/>
        <v>78.120922022187955</v>
      </c>
      <c r="L295" s="109">
        <f t="shared" si="103"/>
        <v>49.018852852392477</v>
      </c>
      <c r="M295" s="109">
        <f t="shared" si="103"/>
        <v>19.186341972423847</v>
      </c>
    </row>
    <row r="296" spans="1:13" s="22" customFormat="1" x14ac:dyDescent="0.25">
      <c r="A296" s="47"/>
      <c r="B296" s="58" t="s">
        <v>242</v>
      </c>
      <c r="C296" s="47" t="s">
        <v>153</v>
      </c>
      <c r="D296" s="35"/>
      <c r="E296" s="35">
        <f>E86-D86</f>
        <v>22.1</v>
      </c>
      <c r="F296" s="35">
        <f>F86-E86</f>
        <v>16.600000000000005</v>
      </c>
      <c r="G296" s="35">
        <f>G86-F86</f>
        <v>-40.500000000000007</v>
      </c>
      <c r="H296" s="35">
        <f>H86-G86</f>
        <v>9.9999999999999645E-2</v>
      </c>
      <c r="I296" s="109">
        <f>MIN(I292,I295)</f>
        <v>-99.504870337855124</v>
      </c>
      <c r="J296" s="109">
        <f>MIN(J292,J295)</f>
        <v>28.383948315667176</v>
      </c>
      <c r="K296" s="109">
        <f>MIN(K292,K295)</f>
        <v>29.102069169795477</v>
      </c>
      <c r="L296" s="109">
        <f>MIN(L292,L295)</f>
        <v>29.83251087996863</v>
      </c>
      <c r="M296" s="109">
        <f>MIN(M292,M295)</f>
        <v>19.186341972423847</v>
      </c>
    </row>
    <row r="297" spans="1:13" s="22" customFormat="1" x14ac:dyDescent="0.25">
      <c r="A297" s="47"/>
      <c r="B297" s="57" t="s">
        <v>138</v>
      </c>
      <c r="C297" s="47" t="s">
        <v>153</v>
      </c>
      <c r="D297" s="27">
        <f>D86</f>
        <v>8.6999999999999993</v>
      </c>
      <c r="E297" s="27">
        <f>SUM(E295:E296)</f>
        <v>30.8</v>
      </c>
      <c r="F297" s="27">
        <f>SUM(F295:F296)</f>
        <v>47.400000000000006</v>
      </c>
      <c r="G297" s="27">
        <f>SUM(G295:G296)</f>
        <v>6.8999999999999986</v>
      </c>
      <c r="H297" s="27">
        <f>SUM(H295:H296)</f>
        <v>6.9999999999999982</v>
      </c>
      <c r="I297" s="94">
        <f>I295-I296</f>
        <v>106.50487033785512</v>
      </c>
      <c r="J297" s="94">
        <f>J295-J296</f>
        <v>78.120922022187955</v>
      </c>
      <c r="K297" s="94">
        <f>K295-K296</f>
        <v>49.018852852392477</v>
      </c>
      <c r="L297" s="94">
        <f>L295-L296</f>
        <v>19.186341972423847</v>
      </c>
      <c r="M297" s="94">
        <f>M295-M296</f>
        <v>0</v>
      </c>
    </row>
    <row r="298" spans="1:13" s="22" customFormat="1" x14ac:dyDescent="0.25">
      <c r="A298" s="47"/>
      <c r="B298" s="57"/>
      <c r="C298" s="47"/>
      <c r="D298" s="27"/>
      <c r="E298" s="27"/>
      <c r="F298" s="27"/>
      <c r="G298" s="27"/>
      <c r="H298" s="27"/>
      <c r="I298" s="94"/>
      <c r="J298" s="94"/>
      <c r="K298" s="94"/>
      <c r="L298" s="94"/>
      <c r="M298" s="94"/>
    </row>
    <row r="299" spans="1:13" s="22" customFormat="1" x14ac:dyDescent="0.25">
      <c r="A299" s="47"/>
      <c r="B299" s="68" t="s">
        <v>180</v>
      </c>
      <c r="C299" s="47" t="s">
        <v>92</v>
      </c>
      <c r="D299" s="26"/>
      <c r="E299" s="26"/>
      <c r="F299" s="26"/>
      <c r="G299" s="26"/>
      <c r="H299" s="26"/>
      <c r="I299" s="174">
        <f>Assumptions!I51</f>
        <v>0.04</v>
      </c>
      <c r="J299" s="174">
        <f>Assumptions!J51</f>
        <v>0.04</v>
      </c>
      <c r="K299" s="174">
        <f>Assumptions!K51</f>
        <v>0.04</v>
      </c>
      <c r="L299" s="174">
        <f>Assumptions!L51</f>
        <v>0.04</v>
      </c>
      <c r="M299" s="174">
        <f>Assumptions!M51</f>
        <v>0.04</v>
      </c>
    </row>
    <row r="300" spans="1:13" s="22" customFormat="1" x14ac:dyDescent="0.25">
      <c r="A300" s="47"/>
      <c r="B300" s="68" t="s">
        <v>183</v>
      </c>
      <c r="C300" s="47" t="s">
        <v>153</v>
      </c>
      <c r="D300" s="26"/>
      <c r="E300" s="26"/>
      <c r="F300" s="26"/>
      <c r="G300" s="26"/>
      <c r="H300" s="26"/>
      <c r="I300" s="93">
        <f>IF($C$6 ="OFF",I299*(H297+I297)/2,I299*H297)</f>
        <v>0.27999999999999992</v>
      </c>
      <c r="J300" s="93">
        <f>IF($C$6 ="OFF",J299*(I297+J297)/2,J299*I297)</f>
        <v>4.2601948135142047</v>
      </c>
      <c r="K300" s="93">
        <f>IF($C$6 ="OFF",K299*(J297+K297)/2,K299*J297)</f>
        <v>3.1248368808875182</v>
      </c>
      <c r="L300" s="93">
        <f>IF($C$6 ="OFF",L299*(K297+L297)/2,L299*K297)</f>
        <v>1.9607541140956992</v>
      </c>
      <c r="M300" s="93">
        <f>IF($C$6 ="OFF",M299*(L297+M297)/2,M299*L297)</f>
        <v>0.76745367889695393</v>
      </c>
    </row>
    <row r="301" spans="1:13" s="22" customFormat="1" x14ac:dyDescent="0.25">
      <c r="A301" s="47"/>
      <c r="B301" s="50"/>
      <c r="C301" s="47"/>
      <c r="D301" s="27"/>
      <c r="E301" s="27"/>
      <c r="F301" s="27"/>
      <c r="G301" s="27"/>
      <c r="H301" s="27"/>
      <c r="I301" s="94"/>
      <c r="J301" s="94"/>
      <c r="K301" s="94"/>
      <c r="L301" s="94"/>
      <c r="M301" s="94"/>
    </row>
    <row r="302" spans="1:13" s="22" customFormat="1" x14ac:dyDescent="0.25">
      <c r="A302" s="50" t="s">
        <v>213</v>
      </c>
      <c r="B302" s="50"/>
      <c r="C302" s="47"/>
      <c r="D302" s="27"/>
      <c r="E302" s="27"/>
      <c r="F302" s="27"/>
      <c r="G302" s="27"/>
      <c r="H302" s="27"/>
      <c r="I302" s="94"/>
      <c r="J302" s="94"/>
      <c r="K302" s="94"/>
      <c r="L302" s="94"/>
      <c r="M302" s="94"/>
    </row>
    <row r="303" spans="1:13" x14ac:dyDescent="0.25">
      <c r="A303" s="47"/>
      <c r="B303" s="47" t="s">
        <v>203</v>
      </c>
      <c r="C303" s="47" t="s">
        <v>153</v>
      </c>
      <c r="D303" s="24"/>
      <c r="E303" s="26">
        <f t="shared" ref="E303:M303" si="104">D305</f>
        <v>129.1</v>
      </c>
      <c r="F303" s="26">
        <f t="shared" si="104"/>
        <v>149.80000000000001</v>
      </c>
      <c r="G303" s="26">
        <f t="shared" si="104"/>
        <v>143.1</v>
      </c>
      <c r="H303" s="26">
        <f t="shared" si="104"/>
        <v>160.4</v>
      </c>
      <c r="I303" s="93">
        <f t="shared" si="104"/>
        <v>170</v>
      </c>
      <c r="J303" s="93">
        <f t="shared" si="104"/>
        <v>122.94240000000008</v>
      </c>
      <c r="K303" s="93">
        <f t="shared" si="104"/>
        <v>125.96649600000009</v>
      </c>
      <c r="L303" s="93">
        <f t="shared" si="104"/>
        <v>129.07467311999989</v>
      </c>
      <c r="M303" s="93">
        <f t="shared" si="104"/>
        <v>132.269387376</v>
      </c>
    </row>
    <row r="304" spans="1:13" s="22" customFormat="1" x14ac:dyDescent="0.25">
      <c r="A304" s="47"/>
      <c r="B304" s="47" t="s">
        <v>204</v>
      </c>
      <c r="C304" s="47" t="s">
        <v>153</v>
      </c>
      <c r="D304" s="24"/>
      <c r="E304" s="26">
        <f t="shared" ref="E304:M304" si="105">(E71+E72)-(D71+D72)</f>
        <v>20.700000000000017</v>
      </c>
      <c r="F304" s="26">
        <f t="shared" si="105"/>
        <v>-6.7000000000000171</v>
      </c>
      <c r="G304" s="26">
        <f t="shared" si="105"/>
        <v>17.300000000000011</v>
      </c>
      <c r="H304" s="26">
        <f t="shared" si="105"/>
        <v>9.5999999999999943</v>
      </c>
      <c r="I304" s="93">
        <f t="shared" si="105"/>
        <v>-47.057599999999923</v>
      </c>
      <c r="J304" s="93">
        <f t="shared" si="105"/>
        <v>3.0240960000000143</v>
      </c>
      <c r="K304" s="93">
        <f t="shared" si="105"/>
        <v>3.1081771199997945</v>
      </c>
      <c r="L304" s="93">
        <f t="shared" si="105"/>
        <v>3.1947142560001112</v>
      </c>
      <c r="M304" s="93">
        <f t="shared" si="105"/>
        <v>14.673409350986617</v>
      </c>
    </row>
    <row r="305" spans="1:13" s="22" customFormat="1" x14ac:dyDescent="0.25">
      <c r="A305" s="47"/>
      <c r="B305" s="47" t="s">
        <v>205</v>
      </c>
      <c r="C305" s="47" t="s">
        <v>153</v>
      </c>
      <c r="D305" s="26">
        <f>D71+D72</f>
        <v>129.1</v>
      </c>
      <c r="E305" s="26">
        <f t="shared" ref="E305:M305" si="106">SUM(E303:E304)</f>
        <v>149.80000000000001</v>
      </c>
      <c r="F305" s="26">
        <f t="shared" si="106"/>
        <v>143.1</v>
      </c>
      <c r="G305" s="26">
        <f t="shared" si="106"/>
        <v>160.4</v>
      </c>
      <c r="H305" s="26">
        <f t="shared" si="106"/>
        <v>170</v>
      </c>
      <c r="I305" s="93">
        <f t="shared" si="106"/>
        <v>122.94240000000008</v>
      </c>
      <c r="J305" s="93">
        <f t="shared" si="106"/>
        <v>125.96649600000009</v>
      </c>
      <c r="K305" s="93">
        <f t="shared" si="106"/>
        <v>129.07467311999989</v>
      </c>
      <c r="L305" s="93">
        <f t="shared" si="106"/>
        <v>132.269387376</v>
      </c>
      <c r="M305" s="93">
        <f t="shared" si="106"/>
        <v>146.94279672698661</v>
      </c>
    </row>
    <row r="306" spans="1:13" s="22" customFormat="1" x14ac:dyDescent="0.25">
      <c r="A306" s="47"/>
      <c r="B306" s="47"/>
      <c r="C306" s="47"/>
      <c r="D306" s="24"/>
      <c r="E306" s="24"/>
      <c r="F306" s="24"/>
      <c r="G306" s="24"/>
      <c r="H306" s="24"/>
      <c r="I306" s="91"/>
      <c r="J306" s="91"/>
      <c r="K306" s="91"/>
      <c r="L306" s="91"/>
      <c r="M306" s="91"/>
    </row>
    <row r="307" spans="1:13" x14ac:dyDescent="0.25">
      <c r="A307" s="47"/>
      <c r="B307" s="55" t="s">
        <v>214</v>
      </c>
      <c r="C307" s="47" t="s">
        <v>92</v>
      </c>
      <c r="D307" s="24"/>
      <c r="E307" s="24"/>
      <c r="F307" s="24"/>
      <c r="G307" s="24"/>
      <c r="H307" s="24"/>
      <c r="I307" s="174">
        <f>Assumptions!I53</f>
        <v>0.01</v>
      </c>
      <c r="J307" s="174">
        <f>Assumptions!J53</f>
        <v>0.01</v>
      </c>
      <c r="K307" s="174">
        <f>Assumptions!K53</f>
        <v>0.01</v>
      </c>
      <c r="L307" s="174">
        <f>Assumptions!L53</f>
        <v>0.01</v>
      </c>
      <c r="M307" s="174">
        <f>Assumptions!M53</f>
        <v>0.01</v>
      </c>
    </row>
    <row r="308" spans="1:13" x14ac:dyDescent="0.25">
      <c r="A308" s="47"/>
      <c r="B308" s="55" t="s">
        <v>215</v>
      </c>
      <c r="C308" s="47" t="s">
        <v>153</v>
      </c>
      <c r="D308" s="24"/>
      <c r="E308" s="24"/>
      <c r="F308" s="24"/>
      <c r="G308" s="24"/>
      <c r="H308" s="24"/>
      <c r="I308" s="93">
        <f>IF($C$6 ="OFF", I307*(H305+I305)/2,I307*H305)</f>
        <v>1.7</v>
      </c>
      <c r="J308" s="93">
        <f>IF($C$6 ="OFF", J307*(I305+J305)/2,J307*I305)</f>
        <v>1.2294240000000007</v>
      </c>
      <c r="K308" s="93">
        <f>IF($C$6 ="OFF", K307*(J305+K305)/2,K307*J305)</f>
        <v>1.2596649600000009</v>
      </c>
      <c r="L308" s="93">
        <f>IF($C$6 ="OFF", L307*(K305+L305)/2,L307*K305)</f>
        <v>1.2907467311999989</v>
      </c>
      <c r="M308" s="93">
        <f>IF($C$6 ="OFF", M307*(L305+M305)/2,M307*L305)</f>
        <v>1.32269387376</v>
      </c>
    </row>
    <row r="309" spans="1:13" x14ac:dyDescent="0.25">
      <c r="A309" s="47"/>
      <c r="B309" s="47"/>
      <c r="C309" s="47"/>
      <c r="D309" s="24"/>
      <c r="E309" s="24"/>
      <c r="F309" s="24"/>
      <c r="G309" s="24"/>
      <c r="H309" s="24"/>
      <c r="I309" s="91"/>
      <c r="J309" s="91"/>
      <c r="K309" s="91"/>
      <c r="L309" s="91"/>
      <c r="M309" s="91"/>
    </row>
  </sheetData>
  <dataValidations disablePrompts="1" count="1">
    <dataValidation type="list" allowBlank="1" showInputMessage="1" showErrorMessage="1" sqref="C6" xr:uid="{91E8A46A-31BE-4814-95F9-36E09743C75D}">
      <formula1>$D$6:$E$6</formula1>
    </dataValidation>
  </dataValidations>
  <pageMargins left="0.75" right="0.75" top="1" bottom="1" header="0.5" footer="0.5"/>
  <pageSetup orientation="portrait" horizontalDpi="4294967292" verticalDpi="4294967292" r:id="rId1"/>
  <ignoredErrors>
    <ignoredError sqref="E64 F64:H64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N36"/>
  <sheetViews>
    <sheetView topLeftCell="A22" workbookViewId="0"/>
  </sheetViews>
  <sheetFormatPr defaultRowHeight="15.75" x14ac:dyDescent="0.25"/>
  <cols>
    <col min="1" max="1" width="3.375" style="22" customWidth="1"/>
    <col min="2" max="2" width="52.625" customWidth="1"/>
    <col min="3" max="3" width="10.625" customWidth="1"/>
    <col min="4" max="8" width="9.625" bestFit="1" customWidth="1"/>
    <col min="9" max="9" width="10" bestFit="1" customWidth="1"/>
    <col min="10" max="13" width="9.625" bestFit="1" customWidth="1"/>
  </cols>
  <sheetData>
    <row r="1" spans="1:14" ht="22.5" x14ac:dyDescent="0.3">
      <c r="A1" s="46" t="str">
        <f>C3</f>
        <v>Inglis' Steel Mills</v>
      </c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</row>
    <row r="2" spans="1:14" x14ac:dyDescent="0.25">
      <c r="A2" s="47"/>
      <c r="B2" s="47"/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</row>
    <row r="3" spans="1:14" x14ac:dyDescent="0.25">
      <c r="A3" s="47"/>
      <c r="B3" s="47" t="s">
        <v>65</v>
      </c>
      <c r="C3" s="204" t="str">
        <f>Assumptions!C3</f>
        <v>Inglis' Steel Mills</v>
      </c>
      <c r="D3" s="47"/>
      <c r="E3" s="47"/>
      <c r="F3" s="47"/>
      <c r="G3" s="47"/>
      <c r="H3" s="47"/>
      <c r="I3" s="47"/>
      <c r="J3" s="47"/>
      <c r="K3" s="47"/>
      <c r="L3" s="47"/>
      <c r="M3" s="47"/>
    </row>
    <row r="4" spans="1:14" x14ac:dyDescent="0.25">
      <c r="A4" s="47"/>
      <c r="B4" s="47" t="s">
        <v>66</v>
      </c>
      <c r="C4" s="204" t="str">
        <f>Assumptions!C4</f>
        <v>ISM</v>
      </c>
      <c r="D4" s="47"/>
      <c r="E4" s="47"/>
      <c r="F4" s="47"/>
      <c r="G4" s="47"/>
      <c r="H4" s="47"/>
      <c r="I4" s="47"/>
      <c r="J4" s="47"/>
      <c r="K4" s="47"/>
      <c r="L4" s="47"/>
      <c r="M4" s="47"/>
    </row>
    <row r="5" spans="1:14" x14ac:dyDescent="0.25">
      <c r="A5" s="47"/>
      <c r="B5" s="47" t="s">
        <v>67</v>
      </c>
      <c r="C5" s="205">
        <f>Assumptions!C5</f>
        <v>44103</v>
      </c>
      <c r="D5" s="47"/>
      <c r="E5" s="47"/>
      <c r="F5" s="47"/>
      <c r="G5" s="47"/>
      <c r="H5" s="47"/>
      <c r="I5" s="47"/>
      <c r="J5" s="47"/>
      <c r="K5" s="47"/>
      <c r="L5" s="47"/>
      <c r="M5" s="47"/>
    </row>
    <row r="6" spans="1:14" x14ac:dyDescent="0.25">
      <c r="A6" s="47"/>
      <c r="B6" s="47" t="s">
        <v>216</v>
      </c>
      <c r="C6" s="204" t="str">
        <f>Assumptions!C6</f>
        <v>ON</v>
      </c>
      <c r="D6" s="152" t="s">
        <v>217</v>
      </c>
      <c r="E6" s="152" t="s">
        <v>218</v>
      </c>
      <c r="F6" s="47"/>
      <c r="G6" s="47"/>
      <c r="H6" s="47"/>
      <c r="I6" s="47"/>
      <c r="J6" s="47"/>
      <c r="K6" s="47"/>
      <c r="L6" s="47"/>
      <c r="M6" s="47"/>
    </row>
    <row r="7" spans="1:14" x14ac:dyDescent="0.25">
      <c r="A7" s="47"/>
      <c r="B7" s="47"/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</row>
    <row r="8" spans="1:14" x14ac:dyDescent="0.25">
      <c r="A8" s="50" t="s">
        <v>288</v>
      </c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</row>
    <row r="9" spans="1:14" x14ac:dyDescent="0.25">
      <c r="A9" s="51"/>
      <c r="B9" s="52" t="s">
        <v>69</v>
      </c>
      <c r="C9" s="52"/>
      <c r="D9" s="72">
        <f>E9-1</f>
        <v>2010</v>
      </c>
      <c r="E9" s="72">
        <f>F9-1</f>
        <v>2011</v>
      </c>
      <c r="F9" s="72">
        <f>G9-1</f>
        <v>2012</v>
      </c>
      <c r="G9" s="72">
        <f>H9-1</f>
        <v>2013</v>
      </c>
      <c r="H9" s="72">
        <f t="shared" ref="H9:M9" si="0">YEAR(H10)</f>
        <v>2014</v>
      </c>
      <c r="I9" s="89">
        <f t="shared" si="0"/>
        <v>2015</v>
      </c>
      <c r="J9" s="89">
        <f t="shared" si="0"/>
        <v>2016</v>
      </c>
      <c r="K9" s="89">
        <f t="shared" si="0"/>
        <v>2017</v>
      </c>
      <c r="L9" s="89">
        <f t="shared" si="0"/>
        <v>2018</v>
      </c>
      <c r="M9" s="89">
        <f t="shared" si="0"/>
        <v>2019</v>
      </c>
    </row>
    <row r="10" spans="1:14" x14ac:dyDescent="0.25">
      <c r="A10" s="153"/>
      <c r="B10" s="56" t="s">
        <v>68</v>
      </c>
      <c r="C10" s="56" t="s">
        <v>82</v>
      </c>
      <c r="D10" s="206">
        <f>EOMONTH(E10,-12)</f>
        <v>40451</v>
      </c>
      <c r="E10" s="206">
        <f>EOMONTH(F10,-12)</f>
        <v>40816</v>
      </c>
      <c r="F10" s="206">
        <f>EOMONTH(G10,-12)</f>
        <v>41182</v>
      </c>
      <c r="G10" s="206">
        <f>EOMONTH(H10,-12)</f>
        <v>41547</v>
      </c>
      <c r="H10" s="206">
        <v>41911</v>
      </c>
      <c r="I10" s="119">
        <f>EOMONTH(H10,12)</f>
        <v>42277</v>
      </c>
      <c r="J10" s="119">
        <f>EOMONTH(I10,12)</f>
        <v>42643</v>
      </c>
      <c r="K10" s="119">
        <f>EOMONTH(J10,12)</f>
        <v>43008</v>
      </c>
      <c r="L10" s="119">
        <f>EOMONTH(K10,12)</f>
        <v>43373</v>
      </c>
      <c r="M10" s="119">
        <f>EOMONTH(L10,12)</f>
        <v>43738</v>
      </c>
    </row>
    <row r="11" spans="1:14" x14ac:dyDescent="0.25">
      <c r="B11" s="2" t="s">
        <v>121</v>
      </c>
      <c r="D11" s="24"/>
      <c r="E11" s="24"/>
      <c r="F11" s="24"/>
      <c r="G11" s="24"/>
      <c r="H11" s="24"/>
      <c r="I11" s="91"/>
      <c r="J11" s="91"/>
      <c r="K11" s="91"/>
      <c r="L11" s="91"/>
      <c r="M11" s="91"/>
    </row>
    <row r="12" spans="1:14" x14ac:dyDescent="0.25">
      <c r="B12" t="s">
        <v>74</v>
      </c>
      <c r="C12" t="s">
        <v>153</v>
      </c>
      <c r="D12" s="24"/>
      <c r="E12" s="26">
        <f>Model!E25</f>
        <v>81.500000000000057</v>
      </c>
      <c r="F12" s="26">
        <f>Model!F25</f>
        <v>71.700000000000045</v>
      </c>
      <c r="G12" s="26">
        <f>Model!G25</f>
        <v>92.999999999999943</v>
      </c>
      <c r="H12" s="26">
        <f>Model!H25</f>
        <v>127.79999999999993</v>
      </c>
      <c r="I12" s="93">
        <f>Model!I25</f>
        <v>113.18027999999998</v>
      </c>
      <c r="J12" s="93">
        <f>Model!J25</f>
        <v>149.3765952</v>
      </c>
      <c r="K12" s="93">
        <f>Model!K25</f>
        <v>153.10640774399999</v>
      </c>
      <c r="L12" s="93">
        <f>Model!L25</f>
        <v>156.94006485120002</v>
      </c>
      <c r="M12" s="93">
        <f>Model!M25</f>
        <v>160.88060136036484</v>
      </c>
    </row>
    <row r="13" spans="1:14" x14ac:dyDescent="0.25">
      <c r="B13" t="s">
        <v>309</v>
      </c>
      <c r="C13" t="s">
        <v>153</v>
      </c>
      <c r="D13" s="24"/>
      <c r="E13" s="26">
        <f>Model!E20*(1-Model!E43)</f>
        <v>0</v>
      </c>
      <c r="F13" s="26">
        <f>Model!F20*(1-Model!F43)</f>
        <v>0</v>
      </c>
      <c r="G13" s="26">
        <f>Model!G20*(1-Model!G43)</f>
        <v>0</v>
      </c>
      <c r="H13" s="26">
        <f>Model!H20*(1-Model!H43)</f>
        <v>0</v>
      </c>
      <c r="I13" s="93">
        <f>Model!I20*(1-Model!I43)</f>
        <v>1.02</v>
      </c>
      <c r="J13" s="93">
        <f>Model!J20*(1-Model!J43)</f>
        <v>0.73765440000000038</v>
      </c>
      <c r="K13" s="93">
        <f>Model!K20*(1-Model!K43)</f>
        <v>0.75579897600000057</v>
      </c>
      <c r="L13" s="93">
        <f>Model!L20*(1-Model!L43)</f>
        <v>0.77444803871999934</v>
      </c>
      <c r="M13" s="93">
        <f>Model!M20*(1-Model!M43)</f>
        <v>0.79361632425600004</v>
      </c>
      <c r="N13" s="155"/>
    </row>
    <row r="14" spans="1:14" x14ac:dyDescent="0.25">
      <c r="B14" t="s">
        <v>122</v>
      </c>
      <c r="C14" t="s">
        <v>153</v>
      </c>
      <c r="D14" s="24"/>
      <c r="E14" s="26">
        <f>Model!E18</f>
        <v>53.6</v>
      </c>
      <c r="F14" s="26">
        <f>Model!F18</f>
        <v>54.3</v>
      </c>
      <c r="G14" s="26">
        <f>Model!G18</f>
        <v>49.9</v>
      </c>
      <c r="H14" s="26">
        <f>Model!H18</f>
        <v>53.8</v>
      </c>
      <c r="I14" s="93">
        <f>Model!I18</f>
        <v>55.978999999999999</v>
      </c>
      <c r="J14" s="93">
        <f>Model!J18</f>
        <v>57.408042999999999</v>
      </c>
      <c r="K14" s="93">
        <f>Model!K18</f>
        <v>58.869372155000008</v>
      </c>
      <c r="L14" s="93">
        <f>Model!L18</f>
        <v>60.364294700874993</v>
      </c>
      <c r="M14" s="93">
        <f>Model!M18</f>
        <v>61.894136029446869</v>
      </c>
    </row>
    <row r="15" spans="1:14" x14ac:dyDescent="0.25">
      <c r="B15" t="s">
        <v>131</v>
      </c>
      <c r="C15" t="s">
        <v>153</v>
      </c>
      <c r="D15" s="24"/>
      <c r="E15" s="26">
        <f>Model!E222</f>
        <v>20</v>
      </c>
      <c r="F15" s="26">
        <f>Model!F222</f>
        <v>-23</v>
      </c>
      <c r="G15" s="26">
        <f>Model!G222</f>
        <v>11.400000000000006</v>
      </c>
      <c r="H15" s="26">
        <f>Model!H222</f>
        <v>30.599999999999994</v>
      </c>
      <c r="I15" s="93">
        <f>Model!I222</f>
        <v>-39.685753424657548</v>
      </c>
      <c r="J15" s="93">
        <f>Model!J222</f>
        <v>4.1425972602739876</v>
      </c>
      <c r="K15" s="93">
        <f>Model!K222</f>
        <v>4.2577768767123416</v>
      </c>
      <c r="L15" s="93">
        <f>Model!L222</f>
        <v>4.3763208986301265</v>
      </c>
      <c r="M15" s="93">
        <f>Model!M222</f>
        <v>4.4983293483616933</v>
      </c>
    </row>
    <row r="16" spans="1:14" x14ac:dyDescent="0.25">
      <c r="B16" t="s">
        <v>132</v>
      </c>
      <c r="C16" t="s">
        <v>153</v>
      </c>
      <c r="D16" s="24"/>
      <c r="E16" s="26">
        <f>Model!E223</f>
        <v>4.7000000000000028</v>
      </c>
      <c r="F16" s="26">
        <f>Model!F223</f>
        <v>-4</v>
      </c>
      <c r="G16" s="26">
        <f>Model!G223</f>
        <v>14.800000000000011</v>
      </c>
      <c r="H16" s="26">
        <f>Model!H223</f>
        <v>5.3999999999999773</v>
      </c>
      <c r="I16" s="93">
        <f>Model!I223</f>
        <v>11.725073170731747</v>
      </c>
      <c r="J16" s="93">
        <f>Model!J223</f>
        <v>3.9337834146341493</v>
      </c>
      <c r="K16" s="93">
        <f>Model!K223</f>
        <v>4.0431572292682745</v>
      </c>
      <c r="L16" s="93">
        <f>Model!L223</f>
        <v>4.1557258614634236</v>
      </c>
      <c r="M16" s="93">
        <f>Model!M223</f>
        <v>4.2715842917776001</v>
      </c>
    </row>
    <row r="17" spans="2:13" x14ac:dyDescent="0.25">
      <c r="B17" t="s">
        <v>133</v>
      </c>
      <c r="C17" t="s">
        <v>153</v>
      </c>
      <c r="D17" s="24"/>
      <c r="E17" s="26">
        <f>Model!E224</f>
        <v>-1.4000000000000057</v>
      </c>
      <c r="F17" s="26">
        <f>Model!F224</f>
        <v>1.5</v>
      </c>
      <c r="G17" s="26">
        <f>Model!G224</f>
        <v>70.400000000000006</v>
      </c>
      <c r="H17" s="26">
        <f>Model!H224</f>
        <v>-5.8000000000000114</v>
      </c>
      <c r="I17" s="93">
        <f>Model!I224</f>
        <v>10.958799999999997</v>
      </c>
      <c r="J17" s="93">
        <f>Model!J224</f>
        <v>4.7881520000000251</v>
      </c>
      <c r="K17" s="93">
        <f>Model!K224</f>
        <v>4.9212804400000039</v>
      </c>
      <c r="L17" s="93">
        <f>Model!L224</f>
        <v>5.058297572000015</v>
      </c>
      <c r="M17" s="93">
        <f>Model!M224</f>
        <v>5.1993190051480269</v>
      </c>
    </row>
    <row r="18" spans="2:13" x14ac:dyDescent="0.25">
      <c r="B18" t="s">
        <v>123</v>
      </c>
      <c r="C18" t="s">
        <v>153</v>
      </c>
      <c r="D18" s="24"/>
      <c r="E18" s="26">
        <f>Model!E225</f>
        <v>20.599999999999994</v>
      </c>
      <c r="F18" s="26">
        <f>Model!F225</f>
        <v>-29.199999999999989</v>
      </c>
      <c r="G18" s="26">
        <f>Model!G225</f>
        <v>31.199999999999989</v>
      </c>
      <c r="H18" s="26">
        <f>Model!H225</f>
        <v>103.60000000000002</v>
      </c>
      <c r="I18" s="93">
        <f>Model!I225</f>
        <v>-171.31488219178084</v>
      </c>
      <c r="J18" s="93">
        <f>Model!J225</f>
        <v>2.6512622465753424</v>
      </c>
      <c r="K18" s="93">
        <f>Model!K225</f>
        <v>2.7249772010958822</v>
      </c>
      <c r="L18" s="93">
        <f>Model!L225</f>
        <v>2.8008453751232878</v>
      </c>
      <c r="M18" s="93">
        <f>Model!M225</f>
        <v>2.8789307829514712</v>
      </c>
    </row>
    <row r="19" spans="2:13" x14ac:dyDescent="0.25">
      <c r="B19" t="s">
        <v>170</v>
      </c>
      <c r="C19" t="s">
        <v>153</v>
      </c>
      <c r="D19" s="24"/>
      <c r="E19" s="26">
        <f>Model!E226</f>
        <v>13.099999999999966</v>
      </c>
      <c r="F19" s="26">
        <f>Model!F226</f>
        <v>14.799999999999784</v>
      </c>
      <c r="G19" s="26">
        <f>Model!G226</f>
        <v>255.19999999999987</v>
      </c>
      <c r="H19" s="26">
        <f>Model!H226</f>
        <v>-72.299999999999557</v>
      </c>
      <c r="I19" s="93">
        <f>Model!I226</f>
        <v>1.8367999999999824</v>
      </c>
      <c r="J19" s="93">
        <f>Model!J226</f>
        <v>8.568271999999979</v>
      </c>
      <c r="K19" s="93">
        <f>Model!K226</f>
        <v>8.8065018400000099</v>
      </c>
      <c r="L19" s="93">
        <f>Model!L226</f>
        <v>9.0516903920000118</v>
      </c>
      <c r="M19" s="93">
        <f>Model!M226</f>
        <v>9.3040445355280781</v>
      </c>
    </row>
    <row r="20" spans="2:13" x14ac:dyDescent="0.25">
      <c r="B20" t="s">
        <v>124</v>
      </c>
      <c r="C20" t="s">
        <v>153</v>
      </c>
      <c r="D20" s="24"/>
      <c r="E20" s="26">
        <f>Model!E227</f>
        <v>-9.3000000000000043</v>
      </c>
      <c r="F20" s="26">
        <f>Model!F227</f>
        <v>-11.799999999999997</v>
      </c>
      <c r="G20" s="26">
        <f>Model!G227</f>
        <v>-21.5</v>
      </c>
      <c r="H20" s="26">
        <f>Model!H227</f>
        <v>0</v>
      </c>
      <c r="I20" s="93">
        <f>Model!I227</f>
        <v>0</v>
      </c>
      <c r="J20" s="93">
        <f>Model!J227</f>
        <v>0</v>
      </c>
      <c r="K20" s="93">
        <f>Model!K227</f>
        <v>0</v>
      </c>
      <c r="L20" s="93">
        <f>Model!L227</f>
        <v>0</v>
      </c>
      <c r="M20" s="93">
        <f>Model!M227</f>
        <v>0</v>
      </c>
    </row>
    <row r="21" spans="2:13" x14ac:dyDescent="0.25">
      <c r="B21" s="2" t="s">
        <v>129</v>
      </c>
      <c r="C21" t="s">
        <v>153</v>
      </c>
      <c r="D21" s="24"/>
      <c r="E21" s="27">
        <f>E12-E13+E14-SUM(E15:E17)+SUM(E18:E20)</f>
        <v>136.20000000000002</v>
      </c>
      <c r="F21" s="27">
        <f t="shared" ref="F21:M21" si="1">F12-F13+F14-SUM(F15:F17)+SUM(F18:F20)</f>
        <v>125.29999999999986</v>
      </c>
      <c r="G21" s="27">
        <f t="shared" si="1"/>
        <v>311.19999999999982</v>
      </c>
      <c r="H21" s="27">
        <f t="shared" si="1"/>
        <v>182.70000000000041</v>
      </c>
      <c r="I21" s="94">
        <f t="shared" si="1"/>
        <v>15.663078062144933</v>
      </c>
      <c r="J21" s="94">
        <f t="shared" si="1"/>
        <v>204.40198537166714</v>
      </c>
      <c r="K21" s="94">
        <f t="shared" si="1"/>
        <v>209.52924541811529</v>
      </c>
      <c r="L21" s="94">
        <f t="shared" si="1"/>
        <v>214.79210294838472</v>
      </c>
      <c r="M21" s="94">
        <f t="shared" si="1"/>
        <v>220.19486373874796</v>
      </c>
    </row>
    <row r="22" spans="2:13" x14ac:dyDescent="0.25">
      <c r="D22" s="24"/>
      <c r="E22" s="24"/>
      <c r="F22" s="24"/>
      <c r="G22" s="24"/>
      <c r="H22" s="24"/>
      <c r="I22" s="91"/>
      <c r="J22" s="91"/>
      <c r="K22" s="91"/>
      <c r="L22" s="91"/>
      <c r="M22" s="91"/>
    </row>
    <row r="23" spans="2:13" x14ac:dyDescent="0.25">
      <c r="B23" s="2" t="s">
        <v>125</v>
      </c>
      <c r="D23" s="24"/>
      <c r="E23" s="24"/>
      <c r="F23" s="24"/>
      <c r="G23" s="24"/>
      <c r="H23" s="24"/>
      <c r="I23" s="91"/>
      <c r="J23" s="91"/>
      <c r="K23" s="91"/>
      <c r="L23" s="91"/>
      <c r="M23" s="91"/>
    </row>
    <row r="24" spans="2:13" x14ac:dyDescent="0.25">
      <c r="B24" t="s">
        <v>171</v>
      </c>
      <c r="C24" t="s">
        <v>153</v>
      </c>
      <c r="D24" s="24"/>
      <c r="E24" s="26">
        <f>Model!E231</f>
        <v>58</v>
      </c>
      <c r="F24" s="26">
        <f>Model!F231</f>
        <v>37.700000000000045</v>
      </c>
      <c r="G24" s="26">
        <f>Model!G231</f>
        <v>118.40000000000009</v>
      </c>
      <c r="H24" s="26">
        <f>Model!H231</f>
        <v>161.09999999999991</v>
      </c>
      <c r="I24" s="93">
        <f>Model!I231</f>
        <v>81.961600000000004</v>
      </c>
      <c r="J24" s="93">
        <f>Model!J231</f>
        <v>83.977664000000004</v>
      </c>
      <c r="K24" s="93">
        <f>Model!K231</f>
        <v>86.04978208</v>
      </c>
      <c r="L24" s="93">
        <f>Model!L231</f>
        <v>88.179591584000008</v>
      </c>
      <c r="M24" s="93">
        <f>Model!M231</f>
        <v>90.36877853353603</v>
      </c>
    </row>
    <row r="25" spans="2:13" x14ac:dyDescent="0.25">
      <c r="B25" t="s">
        <v>172</v>
      </c>
      <c r="C25" t="s">
        <v>153</v>
      </c>
      <c r="D25" s="24"/>
      <c r="E25" s="26">
        <f>Model!E232</f>
        <v>42.300000000000011</v>
      </c>
      <c r="F25" s="26">
        <f>Model!F232</f>
        <v>62.899999999999977</v>
      </c>
      <c r="G25" s="26">
        <f>Model!G232</f>
        <v>93</v>
      </c>
      <c r="H25" s="26">
        <f>Model!H232</f>
        <v>-26.899999999999977</v>
      </c>
      <c r="I25" s="93">
        <f>Model!I232</f>
        <v>21.298399999999958</v>
      </c>
      <c r="J25" s="93">
        <f>Model!J232</f>
        <v>10.584336000000064</v>
      </c>
      <c r="K25" s="93">
        <f>Model!K232</f>
        <v>10.878619920000006</v>
      </c>
      <c r="L25" s="93">
        <f>Model!L232</f>
        <v>11.181499895999991</v>
      </c>
      <c r="M25" s="93">
        <f>Model!M232</f>
        <v>11.493231485064086</v>
      </c>
    </row>
    <row r="26" spans="2:13" x14ac:dyDescent="0.25">
      <c r="B26" s="2" t="s">
        <v>130</v>
      </c>
      <c r="C26" t="s">
        <v>153</v>
      </c>
      <c r="D26" s="24"/>
      <c r="E26" s="27">
        <f>SUM(E24:E25)</f>
        <v>100.30000000000001</v>
      </c>
      <c r="F26" s="27">
        <f t="shared" ref="F26:M26" si="2">SUM(F24:F25)</f>
        <v>100.60000000000002</v>
      </c>
      <c r="G26" s="27">
        <f t="shared" si="2"/>
        <v>211.40000000000009</v>
      </c>
      <c r="H26" s="27">
        <f t="shared" si="2"/>
        <v>134.19999999999993</v>
      </c>
      <c r="I26" s="94">
        <f t="shared" si="2"/>
        <v>103.25999999999996</v>
      </c>
      <c r="J26" s="94">
        <f t="shared" si="2"/>
        <v>94.562000000000069</v>
      </c>
      <c r="K26" s="94">
        <f t="shared" si="2"/>
        <v>96.928402000000006</v>
      </c>
      <c r="L26" s="94">
        <f t="shared" si="2"/>
        <v>99.361091479999999</v>
      </c>
      <c r="M26" s="94">
        <f t="shared" si="2"/>
        <v>101.86201001860012</v>
      </c>
    </row>
    <row r="27" spans="2:13" x14ac:dyDescent="0.25">
      <c r="D27" s="24"/>
      <c r="E27" s="24"/>
      <c r="F27" s="24"/>
      <c r="G27" s="24"/>
      <c r="H27" s="24"/>
      <c r="I27" s="91"/>
      <c r="J27" s="91"/>
      <c r="K27" s="91"/>
      <c r="L27" s="91"/>
      <c r="M27" s="91"/>
    </row>
    <row r="28" spans="2:13" x14ac:dyDescent="0.25">
      <c r="B28" s="2" t="s">
        <v>291</v>
      </c>
      <c r="D28" s="24"/>
      <c r="E28" s="24"/>
      <c r="F28" s="24"/>
      <c r="G28" s="24"/>
      <c r="H28" s="24"/>
      <c r="I28" s="91"/>
      <c r="J28" s="91"/>
      <c r="K28" s="91"/>
      <c r="L28" s="91"/>
      <c r="M28" s="91"/>
    </row>
    <row r="29" spans="2:13" x14ac:dyDescent="0.25">
      <c r="B29" t="s">
        <v>190</v>
      </c>
      <c r="C29" t="s">
        <v>153</v>
      </c>
      <c r="D29" s="24"/>
      <c r="E29" s="26">
        <f>Model!E236</f>
        <v>22.1</v>
      </c>
      <c r="F29" s="26">
        <f>Model!F236</f>
        <v>16.600000000000005</v>
      </c>
      <c r="G29" s="26">
        <f>Model!G236</f>
        <v>-40.500000000000007</v>
      </c>
      <c r="H29" s="26">
        <f>Model!H236</f>
        <v>9.9999999999999645E-2</v>
      </c>
      <c r="I29" s="93">
        <f>Model!I236</f>
        <v>99.504870337855124</v>
      </c>
      <c r="J29" s="93">
        <f>Model!J236</f>
        <v>-28.383948315667169</v>
      </c>
      <c r="K29" s="93">
        <f>Model!K236</f>
        <v>-29.102069169795477</v>
      </c>
      <c r="L29" s="93">
        <f>Model!L236</f>
        <v>-29.83251087996863</v>
      </c>
      <c r="M29" s="93">
        <f>Model!M236</f>
        <v>-19.186341972423847</v>
      </c>
    </row>
    <row r="30" spans="2:13" x14ac:dyDescent="0.25">
      <c r="B30" t="s">
        <v>127</v>
      </c>
      <c r="C30" t="s">
        <v>153</v>
      </c>
      <c r="D30" s="24"/>
      <c r="E30" s="26">
        <f>Model!E237</f>
        <v>-4.6999999999999993</v>
      </c>
      <c r="F30" s="26">
        <f>Model!F237</f>
        <v>-4.8999999999999986</v>
      </c>
      <c r="G30" s="26">
        <f>Model!G237</f>
        <v>13.8</v>
      </c>
      <c r="H30" s="26">
        <f>Model!H237</f>
        <v>37.699999999999996</v>
      </c>
      <c r="I30" s="93">
        <f>Model!I237</f>
        <v>0</v>
      </c>
      <c r="J30" s="93">
        <f>Model!J237</f>
        <v>0</v>
      </c>
      <c r="K30" s="93">
        <f>Model!K237</f>
        <v>0</v>
      </c>
      <c r="L30" s="93">
        <f>Model!L237</f>
        <v>0</v>
      </c>
      <c r="M30" s="93">
        <f>Model!M237</f>
        <v>0</v>
      </c>
    </row>
    <row r="31" spans="2:13" x14ac:dyDescent="0.25">
      <c r="B31" s="2" t="s">
        <v>290</v>
      </c>
      <c r="C31" t="s">
        <v>153</v>
      </c>
      <c r="D31" s="24"/>
      <c r="E31" s="27">
        <f>SUM(E29:E30)</f>
        <v>17.400000000000002</v>
      </c>
      <c r="F31" s="27">
        <f t="shared" ref="F31:M31" si="3">SUM(F29:F30)</f>
        <v>11.700000000000006</v>
      </c>
      <c r="G31" s="27">
        <f t="shared" si="3"/>
        <v>-26.700000000000006</v>
      </c>
      <c r="H31" s="27">
        <f t="shared" si="3"/>
        <v>37.799999999999997</v>
      </c>
      <c r="I31" s="94">
        <f t="shared" si="3"/>
        <v>99.504870337855124</v>
      </c>
      <c r="J31" s="94">
        <f t="shared" si="3"/>
        <v>-28.383948315667169</v>
      </c>
      <c r="K31" s="94">
        <f t="shared" si="3"/>
        <v>-29.102069169795477</v>
      </c>
      <c r="L31" s="94">
        <f t="shared" si="3"/>
        <v>-29.83251087996863</v>
      </c>
      <c r="M31" s="94">
        <f t="shared" si="3"/>
        <v>-19.186341972423847</v>
      </c>
    </row>
    <row r="32" spans="2:13" x14ac:dyDescent="0.25">
      <c r="D32" s="24"/>
      <c r="E32" s="24"/>
      <c r="F32" s="24"/>
      <c r="G32" s="24"/>
      <c r="H32" s="24"/>
      <c r="I32" s="91"/>
      <c r="J32" s="91"/>
      <c r="K32" s="91"/>
      <c r="L32" s="91"/>
      <c r="M32" s="91"/>
    </row>
    <row r="33" spans="2:13" x14ac:dyDescent="0.25">
      <c r="B33" s="2" t="s">
        <v>286</v>
      </c>
      <c r="C33" t="s">
        <v>153</v>
      </c>
      <c r="D33" s="24"/>
      <c r="E33" s="27">
        <f>E21-E26+E31</f>
        <v>53.300000000000011</v>
      </c>
      <c r="F33" s="27">
        <f t="shared" ref="F33:M33" si="4">F21-F26+F31</f>
        <v>36.399999999999835</v>
      </c>
      <c r="G33" s="27">
        <f t="shared" si="4"/>
        <v>73.099999999999724</v>
      </c>
      <c r="H33" s="27">
        <f t="shared" si="4"/>
        <v>86.30000000000048</v>
      </c>
      <c r="I33" s="94">
        <f t="shared" si="4"/>
        <v>11.907948400000095</v>
      </c>
      <c r="J33" s="94">
        <f t="shared" si="4"/>
        <v>81.4560370559999</v>
      </c>
      <c r="K33" s="94">
        <f t="shared" si="4"/>
        <v>83.498774248319819</v>
      </c>
      <c r="L33" s="94">
        <f t="shared" si="4"/>
        <v>85.598500588416101</v>
      </c>
      <c r="M33" s="94">
        <f t="shared" si="4"/>
        <v>99.146511747723991</v>
      </c>
    </row>
    <row r="34" spans="2:13" x14ac:dyDescent="0.25">
      <c r="B34" t="s">
        <v>287</v>
      </c>
      <c r="C34" t="s">
        <v>92</v>
      </c>
      <c r="D34" s="24"/>
      <c r="E34" s="24"/>
      <c r="F34" s="208">
        <v>-0.317</v>
      </c>
      <c r="G34" s="208">
        <v>1.008</v>
      </c>
      <c r="H34" s="208">
        <v>0.18099999999999999</v>
      </c>
      <c r="I34" s="209">
        <v>-0.50800000000000001</v>
      </c>
      <c r="J34" s="209">
        <v>1.7829999999999999</v>
      </c>
      <c r="K34" s="209">
        <v>5.7000000000000002E-2</v>
      </c>
      <c r="L34" s="209">
        <v>5.6000000000000001E-2</v>
      </c>
      <c r="M34" s="209">
        <v>5.5E-2</v>
      </c>
    </row>
    <row r="35" spans="2:13" x14ac:dyDescent="0.25">
      <c r="D35" s="24"/>
      <c r="E35" s="24"/>
      <c r="F35" s="24"/>
      <c r="G35" s="24"/>
      <c r="H35" s="24"/>
      <c r="I35" s="91"/>
      <c r="J35" s="91"/>
      <c r="K35" s="91"/>
      <c r="L35" s="91"/>
      <c r="M35" s="91"/>
    </row>
    <row r="36" spans="2:13" x14ac:dyDescent="0.25">
      <c r="B36" t="s">
        <v>289</v>
      </c>
      <c r="C36" t="s">
        <v>92</v>
      </c>
      <c r="D36" s="24"/>
      <c r="E36" s="208">
        <f>(Model!E239+Model!E238)/FCFE!E33</f>
        <v>0.61163227016885546</v>
      </c>
      <c r="F36" s="208">
        <f>(Model!F239+Model!F238)/FCFE!F33</f>
        <v>1.1840659340659394</v>
      </c>
      <c r="G36" s="208">
        <f>(Model!G239+Model!G238)/FCFE!G33</f>
        <v>0.76333789329685642</v>
      </c>
      <c r="H36" s="208">
        <f>(Model!H239+Model!H238)/FCFE!H33</f>
        <v>0.88876013904982132</v>
      </c>
      <c r="I36" s="209">
        <f>(Model!I239+Model!I238)/FCFE!I33</f>
        <v>5.0374377168110263</v>
      </c>
      <c r="J36" s="209">
        <f>(Model!J239+Model!J238)/FCFE!J33</f>
        <v>0.97193036044181713</v>
      </c>
      <c r="K36" s="209">
        <f>(Model!K239+Model!K238)/FCFE!K33</f>
        <v>0.9718273930943705</v>
      </c>
      <c r="L36" s="209">
        <f>(Model!L239+Model!L238)/FCFE!L33</f>
        <v>0.9717253666753175</v>
      </c>
      <c r="M36" s="209">
        <f>(Model!M239+Model!M238)/FCFE!M33</f>
        <v>0.86000724804068307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J38"/>
  <sheetViews>
    <sheetView topLeftCell="A34" workbookViewId="0"/>
  </sheetViews>
  <sheetFormatPr defaultRowHeight="15.75" x14ac:dyDescent="0.25"/>
  <cols>
    <col min="1" max="1" width="1.875" customWidth="1"/>
    <col min="2" max="2" width="36.125" customWidth="1"/>
    <col min="3" max="3" width="9.75" customWidth="1"/>
    <col min="4" max="8" width="10.375" customWidth="1"/>
    <col min="9" max="9" width="9.25" bestFit="1" customWidth="1"/>
  </cols>
  <sheetData>
    <row r="1" spans="1:9" ht="22.5" x14ac:dyDescent="0.3">
      <c r="A1" s="46" t="str">
        <f>C3</f>
        <v>Inglis' Steel Mills</v>
      </c>
      <c r="B1" s="47"/>
      <c r="C1" s="47"/>
      <c r="D1" s="47"/>
      <c r="E1" s="47"/>
      <c r="F1" s="47"/>
      <c r="G1" s="47"/>
      <c r="H1" s="47"/>
      <c r="I1" s="47"/>
    </row>
    <row r="2" spans="1:9" x14ac:dyDescent="0.25">
      <c r="A2" s="47"/>
      <c r="B2" s="47"/>
      <c r="C2" s="47"/>
      <c r="D2" s="47"/>
      <c r="E2" s="47"/>
      <c r="F2" s="47"/>
      <c r="G2" s="47"/>
      <c r="H2" s="47"/>
      <c r="I2" s="47"/>
    </row>
    <row r="3" spans="1:9" x14ac:dyDescent="0.25">
      <c r="A3" s="47"/>
      <c r="B3" s="47" t="s">
        <v>65</v>
      </c>
      <c r="C3" s="204" t="str">
        <f>Assumptions!C3</f>
        <v>Inglis' Steel Mills</v>
      </c>
      <c r="D3" s="47"/>
      <c r="E3" s="47"/>
      <c r="F3" s="47"/>
      <c r="G3" s="47"/>
      <c r="H3" s="47"/>
      <c r="I3" s="47"/>
    </row>
    <row r="4" spans="1:9" x14ac:dyDescent="0.25">
      <c r="A4" s="47"/>
      <c r="B4" s="47" t="s">
        <v>66</v>
      </c>
      <c r="C4" s="204" t="str">
        <f>Assumptions!C4</f>
        <v>ISM</v>
      </c>
      <c r="D4" s="47"/>
      <c r="E4" s="47"/>
      <c r="F4" s="47"/>
      <c r="G4" s="47"/>
      <c r="H4" s="47"/>
      <c r="I4" s="47"/>
    </row>
    <row r="5" spans="1:9" x14ac:dyDescent="0.25">
      <c r="A5" s="47"/>
      <c r="B5" s="47" t="s">
        <v>67</v>
      </c>
      <c r="C5" s="205">
        <f>Assumptions!C5</f>
        <v>44103</v>
      </c>
      <c r="D5" s="47"/>
      <c r="E5" s="47"/>
      <c r="F5" s="47"/>
      <c r="G5" s="47"/>
      <c r="H5" s="47"/>
      <c r="I5" s="47"/>
    </row>
    <row r="6" spans="1:9" x14ac:dyDescent="0.25">
      <c r="A6" s="47"/>
      <c r="B6" s="47" t="s">
        <v>216</v>
      </c>
      <c r="C6" s="204" t="str">
        <f>Assumptions!C6</f>
        <v>ON</v>
      </c>
      <c r="D6" s="47"/>
      <c r="E6" s="47"/>
      <c r="F6" s="47"/>
      <c r="G6" s="47"/>
      <c r="H6" s="47"/>
      <c r="I6" s="47"/>
    </row>
    <row r="7" spans="1:9" x14ac:dyDescent="0.25">
      <c r="A7" s="47"/>
      <c r="B7" s="47"/>
      <c r="C7" s="47"/>
      <c r="D7" s="47"/>
      <c r="E7" s="47"/>
      <c r="F7" s="47"/>
      <c r="G7" s="47"/>
      <c r="H7" s="47"/>
      <c r="I7" s="47"/>
    </row>
    <row r="10" spans="1:9" x14ac:dyDescent="0.25">
      <c r="A10" s="22"/>
    </row>
    <row r="11" spans="1:9" x14ac:dyDescent="0.25">
      <c r="A11" s="22"/>
      <c r="B11" s="2" t="s">
        <v>292</v>
      </c>
      <c r="F11" s="2" t="s">
        <v>297</v>
      </c>
    </row>
    <row r="12" spans="1:9" x14ac:dyDescent="0.25">
      <c r="A12" s="22"/>
      <c r="F12" s="2"/>
    </row>
    <row r="13" spans="1:9" x14ac:dyDescent="0.25">
      <c r="A13" s="22"/>
      <c r="B13" t="s">
        <v>293</v>
      </c>
      <c r="C13" s="214">
        <v>2.1999999999999999E-2</v>
      </c>
      <c r="F13" t="s">
        <v>311</v>
      </c>
      <c r="I13" s="155">
        <f>FCFE!M12-FCFE!M13</f>
        <v>160.08698503610884</v>
      </c>
    </row>
    <row r="14" spans="1:9" x14ac:dyDescent="0.25">
      <c r="A14" s="22"/>
      <c r="B14" t="s">
        <v>294</v>
      </c>
      <c r="C14" s="215">
        <v>0.06</v>
      </c>
      <c r="F14" t="s">
        <v>310</v>
      </c>
      <c r="I14" s="4">
        <f>I13/(Model!L93-Model!L71-Model!L72)</f>
        <v>0.10211229952802632</v>
      </c>
    </row>
    <row r="15" spans="1:9" x14ac:dyDescent="0.25">
      <c r="A15" s="22"/>
      <c r="B15" t="s">
        <v>295</v>
      </c>
      <c r="C15" s="216">
        <v>1</v>
      </c>
      <c r="F15" t="s">
        <v>312</v>
      </c>
      <c r="I15" s="4">
        <f>(FCFE!M24+FCFE!M25+SUM(FCFE!M15:M17)-SUM(FCFE!M18:M20)-FCFE!M29-FCFE!M30)/(FCFE!M12-FCFE!M13)</f>
        <v>0.76729916107874385</v>
      </c>
    </row>
    <row r="16" spans="1:9" x14ac:dyDescent="0.25">
      <c r="A16" s="22"/>
      <c r="B16" s="2" t="s">
        <v>292</v>
      </c>
      <c r="C16" s="211">
        <f>C13+C15*C14</f>
        <v>8.199999999999999E-2</v>
      </c>
      <c r="F16" t="s">
        <v>313</v>
      </c>
      <c r="I16" s="203">
        <f>I15*I14</f>
        <v>7.8350681763676003E-2</v>
      </c>
    </row>
    <row r="17" spans="1:10" x14ac:dyDescent="0.25">
      <c r="A17" s="22"/>
    </row>
    <row r="18" spans="1:10" x14ac:dyDescent="0.25">
      <c r="A18" s="22"/>
      <c r="B18" s="2" t="s">
        <v>296</v>
      </c>
      <c r="C18" s="217">
        <f>(1-Model!M34)*Ratios!M60</f>
        <v>4.2584077272911726E-2</v>
      </c>
    </row>
    <row r="19" spans="1:10" x14ac:dyDescent="0.25">
      <c r="A19" s="22"/>
      <c r="B19" s="2" t="s">
        <v>297</v>
      </c>
      <c r="C19" s="212">
        <f>I16</f>
        <v>7.8350681763676003E-2</v>
      </c>
    </row>
    <row r="20" spans="1:10" x14ac:dyDescent="0.25">
      <c r="A20" s="22"/>
    </row>
    <row r="21" spans="1:10" ht="31.5" x14ac:dyDescent="0.25">
      <c r="A21" s="22"/>
      <c r="B21" s="2" t="s">
        <v>298</v>
      </c>
      <c r="D21" s="210" t="s">
        <v>300</v>
      </c>
    </row>
    <row r="22" spans="1:10" x14ac:dyDescent="0.25">
      <c r="A22" s="51"/>
      <c r="B22" s="52" t="s">
        <v>69</v>
      </c>
      <c r="C22" s="52"/>
      <c r="D22" s="72">
        <f t="shared" ref="D22:I22" si="0">YEAR(D23)</f>
        <v>2014</v>
      </c>
      <c r="E22" s="89">
        <f t="shared" si="0"/>
        <v>2015</v>
      </c>
      <c r="F22" s="89">
        <f t="shared" si="0"/>
        <v>2016</v>
      </c>
      <c r="G22" s="89">
        <f t="shared" si="0"/>
        <v>2017</v>
      </c>
      <c r="H22" s="89">
        <f t="shared" si="0"/>
        <v>2018</v>
      </c>
      <c r="I22" s="89">
        <f t="shared" si="0"/>
        <v>2019</v>
      </c>
      <c r="J22" t="s">
        <v>301</v>
      </c>
    </row>
    <row r="23" spans="1:10" x14ac:dyDescent="0.25">
      <c r="A23" s="153"/>
      <c r="B23" s="56" t="s">
        <v>68</v>
      </c>
      <c r="C23" s="56" t="s">
        <v>82</v>
      </c>
      <c r="D23" s="206">
        <v>41911</v>
      </c>
      <c r="E23" s="119">
        <f>EOMONTH(D23,12)</f>
        <v>42277</v>
      </c>
      <c r="F23" s="119">
        <f>EOMONTH(E23,12)</f>
        <v>42643</v>
      </c>
      <c r="G23" s="119">
        <f>EOMONTH(F23,12)</f>
        <v>43008</v>
      </c>
      <c r="H23" s="119">
        <f>EOMONTH(G23,12)</f>
        <v>43373</v>
      </c>
      <c r="I23" s="119">
        <f>EOMONTH(H23,12)</f>
        <v>43738</v>
      </c>
      <c r="J23" t="s">
        <v>49</v>
      </c>
    </row>
    <row r="25" spans="1:10" x14ac:dyDescent="0.25">
      <c r="B25" t="s">
        <v>299</v>
      </c>
      <c r="C25" t="s">
        <v>153</v>
      </c>
      <c r="D25" s="155"/>
      <c r="E25" s="155">
        <f>Model!I27</f>
        <v>59.985548399999992</v>
      </c>
      <c r="F25" s="155">
        <f>Model!J27</f>
        <v>79.169595455999996</v>
      </c>
      <c r="G25" s="155">
        <f>Model!K27</f>
        <v>81.146396104320004</v>
      </c>
      <c r="H25" s="155">
        <f>Model!L27</f>
        <v>83.178234371136014</v>
      </c>
      <c r="I25" s="155">
        <f>Model!M27</f>
        <v>85.266718720993367</v>
      </c>
      <c r="J25" s="155">
        <f>I25*(1+C18)</f>
        <v>88.897723259815791</v>
      </c>
    </row>
    <row r="26" spans="1:10" x14ac:dyDescent="0.25">
      <c r="B26" t="s">
        <v>302</v>
      </c>
      <c r="C26" t="s">
        <v>153</v>
      </c>
      <c r="D26" s="207">
        <f>(E25+E26)/(1+$C$16)</f>
        <v>1826.1453843381269</v>
      </c>
      <c r="E26" s="155">
        <f>(F25+F26)/(1+$C$16)</f>
        <v>1915.9037574538534</v>
      </c>
      <c r="F26" s="155">
        <f>(G25+G26)/(1+$C$16)</f>
        <v>1993.8382701090698</v>
      </c>
      <c r="G26" s="155">
        <f>(H25+H26)/(1+$C$16)</f>
        <v>2076.1866121536937</v>
      </c>
      <c r="H26" s="155">
        <f>(I25+I26)/(1+$C$16)</f>
        <v>2163.2556799791605</v>
      </c>
      <c r="I26" s="155">
        <f>J25/($C$16-$C$18)</f>
        <v>2255.3759270164587</v>
      </c>
      <c r="J26" s="155"/>
    </row>
    <row r="28" spans="1:10" s="22" customFormat="1" x14ac:dyDescent="0.25"/>
    <row r="29" spans="1:10" s="22" customFormat="1" x14ac:dyDescent="0.25"/>
    <row r="31" spans="1:10" ht="31.5" x14ac:dyDescent="0.25">
      <c r="A31" s="22"/>
      <c r="B31" s="2" t="s">
        <v>305</v>
      </c>
      <c r="C31" s="22"/>
      <c r="D31" s="210" t="s">
        <v>300</v>
      </c>
      <c r="E31" s="22"/>
      <c r="F31" s="22"/>
      <c r="G31" s="22"/>
      <c r="H31" s="22"/>
      <c r="I31" s="22"/>
      <c r="J31" s="22"/>
    </row>
    <row r="32" spans="1:10" x14ac:dyDescent="0.25">
      <c r="A32" s="51"/>
      <c r="B32" s="52" t="s">
        <v>69</v>
      </c>
      <c r="C32" s="52"/>
      <c r="D32" s="72">
        <f t="shared" ref="D32:I32" si="1">YEAR(D33)</f>
        <v>2014</v>
      </c>
      <c r="E32" s="89">
        <f t="shared" si="1"/>
        <v>2015</v>
      </c>
      <c r="F32" s="89">
        <f t="shared" si="1"/>
        <v>2016</v>
      </c>
      <c r="G32" s="89">
        <f t="shared" si="1"/>
        <v>2017</v>
      </c>
      <c r="H32" s="89">
        <f t="shared" si="1"/>
        <v>2018</v>
      </c>
      <c r="I32" s="89">
        <f t="shared" si="1"/>
        <v>2019</v>
      </c>
      <c r="J32" s="22" t="s">
        <v>301</v>
      </c>
    </row>
    <row r="33" spans="1:10" x14ac:dyDescent="0.25">
      <c r="A33" s="153"/>
      <c r="B33" s="56" t="s">
        <v>68</v>
      </c>
      <c r="C33" s="56" t="s">
        <v>82</v>
      </c>
      <c r="D33" s="206">
        <v>41911</v>
      </c>
      <c r="E33" s="119">
        <f>EOMONTH(D33,12)</f>
        <v>42277</v>
      </c>
      <c r="F33" s="119">
        <f>EOMONTH(E33,12)</f>
        <v>42643</v>
      </c>
      <c r="G33" s="119">
        <f>EOMONTH(F33,12)</f>
        <v>43008</v>
      </c>
      <c r="H33" s="119">
        <f>EOMONTH(G33,12)</f>
        <v>43373</v>
      </c>
      <c r="I33" s="119">
        <f>EOMONTH(H33,12)</f>
        <v>43738</v>
      </c>
      <c r="J33" s="22" t="s">
        <v>49</v>
      </c>
    </row>
    <row r="34" spans="1:10" x14ac:dyDescent="0.25">
      <c r="A34" s="22"/>
      <c r="B34" s="22"/>
      <c r="C34" s="22"/>
      <c r="D34" s="22"/>
      <c r="E34" s="22"/>
      <c r="F34" s="22"/>
      <c r="G34" s="22"/>
      <c r="H34" s="22"/>
      <c r="I34" s="22"/>
      <c r="J34" s="22"/>
    </row>
    <row r="35" spans="1:10" x14ac:dyDescent="0.25">
      <c r="A35" s="22"/>
      <c r="B35" s="22" t="s">
        <v>303</v>
      </c>
      <c r="C35" s="22" t="s">
        <v>153</v>
      </c>
      <c r="D35" s="155"/>
      <c r="E35" s="155">
        <f>FCFE!I33</f>
        <v>11.907948400000095</v>
      </c>
      <c r="F35" s="155">
        <f>FCFE!J33</f>
        <v>81.4560370559999</v>
      </c>
      <c r="G35" s="155">
        <f>FCFE!K33</f>
        <v>83.498774248319819</v>
      </c>
      <c r="H35" s="155">
        <f>FCFE!L33</f>
        <v>85.598500588416101</v>
      </c>
      <c r="I35" s="155">
        <f>FCFE!M33</f>
        <v>99.146511747723991</v>
      </c>
      <c r="J35" s="155">
        <f>I35*(1+$C$19)</f>
        <v>106.91470853764849</v>
      </c>
    </row>
    <row r="36" spans="1:10" x14ac:dyDescent="0.25">
      <c r="A36" s="22"/>
      <c r="B36" s="22" t="s">
        <v>304</v>
      </c>
      <c r="C36" s="22" t="s">
        <v>153</v>
      </c>
      <c r="D36" s="207">
        <f>(E35+E36)/(1+$C$16)</f>
        <v>20031.372978787724</v>
      </c>
      <c r="E36" s="155">
        <f>(F35+F36)/(1+$C$16)</f>
        <v>21662.037614648318</v>
      </c>
      <c r="F36" s="155">
        <f>(G35+G36)/(1+$C$16)</f>
        <v>23356.868661993482</v>
      </c>
      <c r="G36" s="155">
        <f>(H35+H36)/(1+$C$16)</f>
        <v>25188.633118028629</v>
      </c>
      <c r="H36" s="155">
        <f>(I35+I36)/(1+$C$16)</f>
        <v>27168.502533118561</v>
      </c>
      <c r="I36" s="155">
        <f>J35/($C$16-$C$19)</f>
        <v>29297.173229086562</v>
      </c>
      <c r="J36" s="155"/>
    </row>
    <row r="37" spans="1:10" x14ac:dyDescent="0.25">
      <c r="B37" t="s">
        <v>306</v>
      </c>
      <c r="C37" t="s">
        <v>153</v>
      </c>
      <c r="D37" s="207">
        <f>Model!H71+Model!H72</f>
        <v>170</v>
      </c>
    </row>
    <row r="38" spans="1:10" x14ac:dyDescent="0.25">
      <c r="B38" s="2" t="s">
        <v>307</v>
      </c>
      <c r="D38" s="207">
        <f>SUM(D36:D37)</f>
        <v>20201.372978787724</v>
      </c>
      <c r="F38" t="s">
        <v>308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>
    <pageSetUpPr fitToPage="1"/>
  </sheetPr>
  <dimension ref="A1:K112"/>
  <sheetViews>
    <sheetView topLeftCell="A97" workbookViewId="0">
      <selection activeCell="D112" sqref="D112"/>
    </sheetView>
  </sheetViews>
  <sheetFormatPr defaultRowHeight="15.75" x14ac:dyDescent="0.25"/>
  <cols>
    <col min="1" max="1" width="2.25" customWidth="1"/>
    <col min="2" max="2" width="38.125" customWidth="1"/>
    <col min="3" max="3" width="14.75" bestFit="1" customWidth="1"/>
    <col min="4" max="4" width="15.375" customWidth="1"/>
    <col min="5" max="5" width="12.125" customWidth="1"/>
    <col min="6" max="7" width="9.5" bestFit="1" customWidth="1"/>
    <col min="8" max="8" width="10.125" customWidth="1"/>
    <col min="9" max="9" width="9.5" bestFit="1" customWidth="1"/>
    <col min="10" max="10" width="9.5" customWidth="1"/>
    <col min="11" max="11" width="20.875" bestFit="1" customWidth="1"/>
  </cols>
  <sheetData>
    <row r="1" spans="1:10" ht="22.5" x14ac:dyDescent="0.3">
      <c r="A1" s="46" t="str">
        <f>C3</f>
        <v>Inglis' Steel Mills</v>
      </c>
      <c r="B1" s="47"/>
      <c r="C1" s="47"/>
      <c r="D1" s="47"/>
      <c r="E1" s="47"/>
      <c r="F1" s="47"/>
      <c r="G1" s="47"/>
      <c r="H1" s="47"/>
      <c r="I1" s="47"/>
    </row>
    <row r="2" spans="1:10" x14ac:dyDescent="0.25">
      <c r="A2" s="47"/>
      <c r="B2" s="47"/>
      <c r="C2" s="47"/>
      <c r="D2" s="47"/>
      <c r="E2" s="47"/>
      <c r="F2" s="47"/>
      <c r="G2" s="47"/>
      <c r="H2" s="47"/>
      <c r="I2" s="47"/>
    </row>
    <row r="3" spans="1:10" x14ac:dyDescent="0.25">
      <c r="A3" s="47"/>
      <c r="B3" s="47" t="s">
        <v>65</v>
      </c>
      <c r="C3" s="204" t="str">
        <f>Assumptions!C3</f>
        <v>Inglis' Steel Mills</v>
      </c>
      <c r="D3" s="47"/>
      <c r="E3" s="47"/>
      <c r="F3" s="47"/>
      <c r="G3" s="47"/>
      <c r="H3" s="47"/>
      <c r="I3" s="47"/>
    </row>
    <row r="4" spans="1:10" x14ac:dyDescent="0.25">
      <c r="A4" s="47"/>
      <c r="B4" s="47" t="s">
        <v>66</v>
      </c>
      <c r="C4" s="204" t="str">
        <f>Assumptions!C4</f>
        <v>ISM</v>
      </c>
      <c r="D4" s="47"/>
      <c r="E4" s="47"/>
      <c r="F4" s="47"/>
      <c r="G4" s="47"/>
      <c r="H4" s="47"/>
      <c r="I4" s="47"/>
    </row>
    <row r="5" spans="1:10" x14ac:dyDescent="0.25">
      <c r="A5" s="47"/>
      <c r="B5" s="47" t="s">
        <v>67</v>
      </c>
      <c r="C5" s="205">
        <f>Assumptions!C5</f>
        <v>44103</v>
      </c>
      <c r="D5" s="47"/>
      <c r="E5" s="47"/>
      <c r="F5" s="47"/>
      <c r="G5" s="47"/>
      <c r="H5" s="47"/>
      <c r="I5" s="47"/>
    </row>
    <row r="6" spans="1:10" s="22" customFormat="1" x14ac:dyDescent="0.25">
      <c r="A6" s="47"/>
      <c r="B6" s="47" t="s">
        <v>300</v>
      </c>
      <c r="C6" s="49">
        <v>44197</v>
      </c>
      <c r="D6" s="47"/>
      <c r="E6" s="47"/>
      <c r="F6" s="47"/>
      <c r="G6" s="47"/>
      <c r="H6" s="47"/>
      <c r="I6" s="47"/>
    </row>
    <row r="7" spans="1:10" x14ac:dyDescent="0.25">
      <c r="A7" s="47"/>
      <c r="B7" s="47" t="s">
        <v>216</v>
      </c>
      <c r="C7" s="204" t="str">
        <f>Model!C6</f>
        <v>ON</v>
      </c>
      <c r="D7" s="47"/>
      <c r="E7" s="47"/>
      <c r="F7" s="47"/>
      <c r="G7" s="47"/>
      <c r="H7" s="47"/>
      <c r="I7" s="47"/>
    </row>
    <row r="8" spans="1:10" x14ac:dyDescent="0.25">
      <c r="A8" s="47"/>
      <c r="B8" s="47"/>
      <c r="C8" s="47"/>
      <c r="D8" s="47"/>
      <c r="E8" s="47"/>
      <c r="F8" s="47"/>
      <c r="G8" s="47"/>
      <c r="H8" s="47"/>
      <c r="I8" s="47"/>
    </row>
    <row r="9" spans="1:10" s="22" customFormat="1" x14ac:dyDescent="0.25">
      <c r="A9" s="47"/>
      <c r="B9" s="47"/>
      <c r="C9" s="47"/>
      <c r="D9" s="47"/>
      <c r="E9" s="47"/>
      <c r="F9" s="47"/>
      <c r="G9" s="47"/>
      <c r="H9" s="47"/>
      <c r="I9" s="47"/>
    </row>
    <row r="10" spans="1:10" x14ac:dyDescent="0.25">
      <c r="A10" s="47" t="s">
        <v>315</v>
      </c>
      <c r="B10" s="47"/>
      <c r="C10" s="47"/>
      <c r="D10" s="47"/>
      <c r="E10" s="47"/>
      <c r="F10" s="47"/>
      <c r="G10" s="47"/>
      <c r="H10" s="47"/>
      <c r="I10" s="47"/>
    </row>
    <row r="11" spans="1:10" x14ac:dyDescent="0.25">
      <c r="A11" s="47" t="s">
        <v>437</v>
      </c>
      <c r="B11" s="47"/>
      <c r="C11" s="47"/>
      <c r="D11" s="47"/>
      <c r="E11" s="47"/>
      <c r="F11" s="47"/>
      <c r="G11" s="47"/>
      <c r="H11" s="47"/>
      <c r="I11" s="47"/>
    </row>
    <row r="12" spans="1:10" x14ac:dyDescent="0.25">
      <c r="A12" s="47" t="s">
        <v>316</v>
      </c>
      <c r="B12" s="47"/>
      <c r="C12" s="47"/>
      <c r="D12" s="47"/>
      <c r="E12" s="47"/>
      <c r="F12" s="47"/>
      <c r="G12" s="47"/>
      <c r="H12" s="47"/>
      <c r="I12" s="47"/>
    </row>
    <row r="13" spans="1:10" x14ac:dyDescent="0.25">
      <c r="A13" s="47" t="s">
        <v>317</v>
      </c>
      <c r="B13" s="47"/>
      <c r="C13" s="47"/>
      <c r="D13" s="47"/>
      <c r="E13" s="47"/>
      <c r="F13" s="47"/>
      <c r="G13" s="47"/>
      <c r="H13" s="47"/>
      <c r="I13" s="47"/>
    </row>
    <row r="14" spans="1:10" x14ac:dyDescent="0.25">
      <c r="A14" s="47"/>
      <c r="B14" s="47"/>
      <c r="C14" s="47"/>
      <c r="D14" s="47"/>
      <c r="E14" s="47"/>
      <c r="F14" s="47"/>
      <c r="G14" s="47"/>
      <c r="H14" s="47"/>
      <c r="I14" s="47"/>
    </row>
    <row r="15" spans="1:10" x14ac:dyDescent="0.25">
      <c r="A15" s="50" t="s">
        <v>339</v>
      </c>
      <c r="B15" s="47"/>
      <c r="C15" s="47"/>
      <c r="D15" s="47"/>
      <c r="E15" s="47"/>
      <c r="F15" s="47"/>
      <c r="G15" s="47"/>
      <c r="H15" s="47"/>
      <c r="I15" s="47"/>
    </row>
    <row r="16" spans="1:10" s="22" customFormat="1" x14ac:dyDescent="0.25">
      <c r="A16" s="51"/>
      <c r="B16" s="52" t="s">
        <v>69</v>
      </c>
      <c r="C16" s="52"/>
      <c r="D16" s="72">
        <f t="shared" ref="D16:I16" si="0">YEAR(D17)</f>
        <v>2020</v>
      </c>
      <c r="E16" s="89">
        <f t="shared" si="0"/>
        <v>2021</v>
      </c>
      <c r="F16" s="89">
        <f t="shared" si="0"/>
        <v>2022</v>
      </c>
      <c r="G16" s="89">
        <f t="shared" si="0"/>
        <v>2023</v>
      </c>
      <c r="H16" s="89">
        <f t="shared" si="0"/>
        <v>2024</v>
      </c>
      <c r="I16" s="89">
        <f t="shared" si="0"/>
        <v>2025</v>
      </c>
      <c r="J16" s="22" t="s">
        <v>301</v>
      </c>
    </row>
    <row r="17" spans="1:10" s="22" customFormat="1" x14ac:dyDescent="0.25">
      <c r="A17" s="153"/>
      <c r="B17" s="56" t="s">
        <v>68</v>
      </c>
      <c r="C17" s="56" t="s">
        <v>82</v>
      </c>
      <c r="D17" s="206">
        <f>C5</f>
        <v>44103</v>
      </c>
      <c r="E17" s="119">
        <f>EOMONTH(D17,12)</f>
        <v>44469</v>
      </c>
      <c r="F17" s="119">
        <f>EOMONTH(E17,12)</f>
        <v>44834</v>
      </c>
      <c r="G17" s="119">
        <f>EOMONTH(F17,12)</f>
        <v>45199</v>
      </c>
      <c r="H17" s="119">
        <f>EOMONTH(G17,12)</f>
        <v>45565</v>
      </c>
      <c r="I17" s="119">
        <f>EOMONTH(H17,12)</f>
        <v>45930</v>
      </c>
      <c r="J17" s="22" t="s">
        <v>49</v>
      </c>
    </row>
    <row r="18" spans="1:10" s="22" customFormat="1" x14ac:dyDescent="0.25">
      <c r="A18" s="47"/>
      <c r="B18" s="47"/>
      <c r="C18" s="47"/>
      <c r="D18" s="24"/>
      <c r="E18" s="91"/>
      <c r="F18" s="91"/>
      <c r="G18" s="91"/>
      <c r="H18" s="91"/>
      <c r="I18" s="91"/>
    </row>
    <row r="19" spans="1:10" s="22" customFormat="1" x14ac:dyDescent="0.25">
      <c r="A19" s="47"/>
      <c r="B19" s="50" t="s">
        <v>325</v>
      </c>
      <c r="C19" s="47"/>
      <c r="D19" s="24"/>
      <c r="E19" s="91"/>
      <c r="F19" s="91"/>
      <c r="G19" s="91"/>
      <c r="H19" s="91"/>
      <c r="I19" s="91"/>
    </row>
    <row r="20" spans="1:10" s="22" customFormat="1" x14ac:dyDescent="0.25">
      <c r="A20" s="47"/>
      <c r="B20" s="47" t="s">
        <v>326</v>
      </c>
      <c r="C20" s="47" t="s">
        <v>92</v>
      </c>
      <c r="D20" s="129">
        <f>Assumptions!H44</f>
        <v>0.04</v>
      </c>
      <c r="E20" s="136">
        <f>Assumptions!I44</f>
        <v>0.04</v>
      </c>
      <c r="F20" s="136">
        <f>Assumptions!J44</f>
        <v>0.04</v>
      </c>
      <c r="G20" s="136">
        <f>Assumptions!K44</f>
        <v>0.04</v>
      </c>
      <c r="H20" s="136">
        <f>Assumptions!L44</f>
        <v>0.04</v>
      </c>
      <c r="I20" s="136">
        <f>Assumptions!M44</f>
        <v>0.04</v>
      </c>
    </row>
    <row r="21" spans="1:10" s="22" customFormat="1" x14ac:dyDescent="0.25">
      <c r="A21" s="47"/>
      <c r="B21" s="47" t="s">
        <v>178</v>
      </c>
      <c r="C21" s="47" t="s">
        <v>92</v>
      </c>
      <c r="D21" s="129">
        <f>Assumptions!H24</f>
        <v>0.39943609022556403</v>
      </c>
      <c r="E21" s="136">
        <f>Assumptions!I24</f>
        <v>0.4</v>
      </c>
      <c r="F21" s="136">
        <f>Assumptions!J24</f>
        <v>0.4</v>
      </c>
      <c r="G21" s="136">
        <f>Assumptions!K24</f>
        <v>0.4</v>
      </c>
      <c r="H21" s="136">
        <f>Assumptions!L24</f>
        <v>0.4</v>
      </c>
      <c r="I21" s="136">
        <f>Assumptions!M24</f>
        <v>0.4</v>
      </c>
    </row>
    <row r="22" spans="1:10" s="22" customFormat="1" x14ac:dyDescent="0.25">
      <c r="A22" s="47"/>
      <c r="B22" s="50" t="s">
        <v>327</v>
      </c>
      <c r="C22" s="47" t="s">
        <v>92</v>
      </c>
      <c r="D22" s="286">
        <f>D20*(1-D21)</f>
        <v>2.4022556390977438E-2</v>
      </c>
      <c r="E22" s="286">
        <f t="shared" ref="E22:I22" si="1">E20*(1-E21)</f>
        <v>2.4E-2</v>
      </c>
      <c r="F22" s="286">
        <f t="shared" si="1"/>
        <v>2.4E-2</v>
      </c>
      <c r="G22" s="286">
        <f t="shared" si="1"/>
        <v>2.4E-2</v>
      </c>
      <c r="H22" s="286">
        <f t="shared" si="1"/>
        <v>2.4E-2</v>
      </c>
      <c r="I22" s="286">
        <f t="shared" si="1"/>
        <v>2.4E-2</v>
      </c>
    </row>
    <row r="23" spans="1:10" s="22" customFormat="1" x14ac:dyDescent="0.25">
      <c r="A23" s="47"/>
      <c r="B23" s="47"/>
      <c r="C23" s="47"/>
      <c r="D23" s="28"/>
      <c r="E23" s="96"/>
      <c r="F23" s="96"/>
      <c r="G23" s="96"/>
      <c r="H23" s="96"/>
      <c r="I23" s="96"/>
    </row>
    <row r="24" spans="1:10" x14ac:dyDescent="0.25">
      <c r="A24" s="47"/>
      <c r="B24" s="50" t="s">
        <v>318</v>
      </c>
      <c r="C24" s="47"/>
      <c r="D24" s="28"/>
      <c r="E24" s="96"/>
      <c r="F24" s="96"/>
      <c r="G24" s="96"/>
      <c r="H24" s="96"/>
      <c r="I24" s="96"/>
    </row>
    <row r="25" spans="1:10" x14ac:dyDescent="0.25">
      <c r="A25" s="47"/>
      <c r="B25" s="47" t="s">
        <v>322</v>
      </c>
      <c r="C25" s="47" t="s">
        <v>92</v>
      </c>
      <c r="D25" s="222">
        <v>1.4999999999999999E-2</v>
      </c>
      <c r="E25" s="100">
        <v>1.4999999999999999E-2</v>
      </c>
      <c r="F25" s="100">
        <v>1.4999999999999999E-2</v>
      </c>
      <c r="G25" s="100">
        <v>1.4999999999999999E-2</v>
      </c>
      <c r="H25" s="100">
        <v>1.4999999999999999E-2</v>
      </c>
      <c r="I25" s="100">
        <v>1.4999999999999999E-2</v>
      </c>
      <c r="J25" s="200" t="s">
        <v>435</v>
      </c>
    </row>
    <row r="26" spans="1:10" x14ac:dyDescent="0.25">
      <c r="A26" s="47"/>
      <c r="B26" s="47" t="s">
        <v>323</v>
      </c>
      <c r="C26" s="47" t="s">
        <v>92</v>
      </c>
      <c r="D26" s="222">
        <v>7.0000000000000007E-2</v>
      </c>
      <c r="E26" s="100">
        <v>7.0000000000000007E-2</v>
      </c>
      <c r="F26" s="100">
        <v>7.0000000000000007E-2</v>
      </c>
      <c r="G26" s="100">
        <v>7.0000000000000007E-2</v>
      </c>
      <c r="H26" s="100">
        <v>7.0000000000000007E-2</v>
      </c>
      <c r="I26" s="100">
        <v>7.0000000000000007E-2</v>
      </c>
      <c r="J26" s="200" t="s">
        <v>382</v>
      </c>
    </row>
    <row r="27" spans="1:10" x14ac:dyDescent="0.25">
      <c r="A27" s="47"/>
      <c r="B27" s="47" t="s">
        <v>319</v>
      </c>
      <c r="C27" s="47"/>
      <c r="D27" s="40">
        <v>1.1000000000000001</v>
      </c>
      <c r="E27" s="114">
        <v>1.1000000000000001</v>
      </c>
      <c r="F27" s="114">
        <v>1.1000000000000001</v>
      </c>
      <c r="G27" s="114">
        <v>1.1000000000000001</v>
      </c>
      <c r="H27" s="114">
        <v>1.1000000000000001</v>
      </c>
      <c r="I27" s="114">
        <v>1.1000000000000001</v>
      </c>
      <c r="J27" s="200" t="s">
        <v>335</v>
      </c>
    </row>
    <row r="28" spans="1:10" x14ac:dyDescent="0.25">
      <c r="A28" s="47"/>
      <c r="B28" s="47"/>
      <c r="C28" s="47" t="s">
        <v>153</v>
      </c>
      <c r="D28" s="24"/>
      <c r="E28" s="91"/>
      <c r="F28" s="91"/>
      <c r="G28" s="91"/>
      <c r="H28" s="91"/>
      <c r="I28" s="91"/>
      <c r="J28" s="200"/>
    </row>
    <row r="29" spans="1:10" s="22" customFormat="1" x14ac:dyDescent="0.25">
      <c r="A29" s="47"/>
      <c r="B29" s="47" t="s">
        <v>328</v>
      </c>
      <c r="C29" s="47" t="s">
        <v>153</v>
      </c>
      <c r="D29" s="304">
        <f>D105</f>
        <v>-89.7</v>
      </c>
      <c r="E29" s="304">
        <f t="shared" ref="E29:I29" si="2">E105</f>
        <v>56.862470337855029</v>
      </c>
      <c r="F29" s="304">
        <f t="shared" si="2"/>
        <v>25.454426022187846</v>
      </c>
      <c r="G29" s="304">
        <f t="shared" si="2"/>
        <v>-6.7558202676074188</v>
      </c>
      <c r="H29" s="304">
        <f t="shared" si="2"/>
        <v>-39.783045403576153</v>
      </c>
      <c r="I29" s="304">
        <f t="shared" si="2"/>
        <v>-73.642796726986617</v>
      </c>
      <c r="J29" s="321" t="s">
        <v>332</v>
      </c>
    </row>
    <row r="30" spans="1:10" s="22" customFormat="1" x14ac:dyDescent="0.25">
      <c r="A30" s="47"/>
      <c r="B30" s="47" t="s">
        <v>329</v>
      </c>
      <c r="C30" s="47" t="s">
        <v>153</v>
      </c>
      <c r="D30" s="302">
        <f>IF($C$7="ON",Model!H93,D110)</f>
        <v>1430.9</v>
      </c>
      <c r="E30" s="302">
        <f>IF($C$7="ON",Model!I93,E110)</f>
        <v>1484.0947316000002</v>
      </c>
      <c r="F30" s="302">
        <f>IF($C$7="ON",Model!J93,F110)</f>
        <v>1554.301731344</v>
      </c>
      <c r="G30" s="302">
        <f>IF($C$7="ON",Model!K93,G110)</f>
        <v>1626.2617429836801</v>
      </c>
      <c r="H30" s="302">
        <f>IF($C$7="ON",Model!L93,H110)</f>
        <v>1700.023573463744</v>
      </c>
      <c r="I30" s="302">
        <f>IF($C$7="ON",Model!M93,I110)</f>
        <v>1775.6374561031155</v>
      </c>
      <c r="J30" s="200" t="s">
        <v>333</v>
      </c>
    </row>
    <row r="31" spans="1:10" x14ac:dyDescent="0.25">
      <c r="A31" s="47"/>
      <c r="B31" s="47" t="s">
        <v>436</v>
      </c>
      <c r="C31" s="47" t="s">
        <v>92</v>
      </c>
      <c r="D31" s="296">
        <f>D29/D30</f>
        <v>-6.268781885526592E-2</v>
      </c>
      <c r="E31" s="296">
        <f t="shared" ref="E31:I31" si="3">E29/E30</f>
        <v>3.8314582706288361E-2</v>
      </c>
      <c r="F31" s="296">
        <f t="shared" si="3"/>
        <v>1.637675974289592E-2</v>
      </c>
      <c r="G31" s="296">
        <f t="shared" si="3"/>
        <v>-4.1542022966196135E-3</v>
      </c>
      <c r="H31" s="296">
        <f t="shared" si="3"/>
        <v>-2.3401466911731974E-2</v>
      </c>
      <c r="I31" s="296">
        <f t="shared" si="3"/>
        <v>-4.1474004996834221E-2</v>
      </c>
      <c r="J31" s="200" t="s">
        <v>334</v>
      </c>
    </row>
    <row r="32" spans="1:10" x14ac:dyDescent="0.25">
      <c r="A32" s="47"/>
      <c r="B32" s="47" t="s">
        <v>320</v>
      </c>
      <c r="C32" s="47"/>
      <c r="D32" s="305">
        <f>D27*(1+D31*(1-D21))</f>
        <v>1.058587154254355</v>
      </c>
      <c r="E32" s="305">
        <f t="shared" ref="E32:I32" si="4">E27*(1+E31*(1-E21))</f>
        <v>1.1252876245861505</v>
      </c>
      <c r="F32" s="305">
        <f t="shared" si="4"/>
        <v>1.1108086614303114</v>
      </c>
      <c r="G32" s="305">
        <f t="shared" si="4"/>
        <v>1.0972582264842312</v>
      </c>
      <c r="H32" s="305">
        <f t="shared" si="4"/>
        <v>1.0845550318382571</v>
      </c>
      <c r="I32" s="305">
        <f t="shared" si="4"/>
        <v>1.0726271567020895</v>
      </c>
      <c r="J32" s="200" t="s">
        <v>330</v>
      </c>
    </row>
    <row r="33" spans="1:10" x14ac:dyDescent="0.25">
      <c r="A33" s="47"/>
      <c r="B33" s="50" t="s">
        <v>321</v>
      </c>
      <c r="C33" s="47" t="s">
        <v>92</v>
      </c>
      <c r="D33" s="286">
        <f>D25+D32*D26</f>
        <v>8.9101100797804852E-2</v>
      </c>
      <c r="E33" s="286">
        <f t="shared" ref="E33:I33" si="5">E25+E32*E26</f>
        <v>9.3770133721030546E-2</v>
      </c>
      <c r="F33" s="286">
        <f t="shared" si="5"/>
        <v>9.2756606300121808E-2</v>
      </c>
      <c r="G33" s="286">
        <f t="shared" si="5"/>
        <v>9.1808075853896193E-2</v>
      </c>
      <c r="H33" s="286">
        <f t="shared" si="5"/>
        <v>9.0918852228678002E-2</v>
      </c>
      <c r="I33" s="286">
        <f t="shared" si="5"/>
        <v>9.0083900969146272E-2</v>
      </c>
      <c r="J33" s="200" t="s">
        <v>331</v>
      </c>
    </row>
    <row r="34" spans="1:10" s="22" customFormat="1" x14ac:dyDescent="0.25">
      <c r="A34" s="47"/>
      <c r="B34" s="50"/>
      <c r="C34" s="47"/>
      <c r="D34" s="223"/>
      <c r="E34" s="231"/>
      <c r="F34" s="231"/>
      <c r="G34" s="231"/>
      <c r="H34" s="231"/>
      <c r="I34" s="231"/>
      <c r="J34" s="200"/>
    </row>
    <row r="35" spans="1:10" s="22" customFormat="1" x14ac:dyDescent="0.25">
      <c r="A35" s="47"/>
      <c r="B35" s="50" t="s">
        <v>336</v>
      </c>
      <c r="C35" s="47"/>
      <c r="D35" s="223"/>
      <c r="E35" s="231"/>
      <c r="F35" s="231"/>
      <c r="G35" s="231"/>
      <c r="H35" s="231"/>
      <c r="I35" s="231"/>
      <c r="J35" s="200"/>
    </row>
    <row r="36" spans="1:10" s="22" customFormat="1" x14ac:dyDescent="0.25">
      <c r="A36" s="47"/>
      <c r="B36" s="55" t="s">
        <v>429</v>
      </c>
      <c r="C36" s="55" t="s">
        <v>92</v>
      </c>
      <c r="D36" s="296">
        <f>D29/(D29+D30)</f>
        <v>-6.6880405606919172E-2</v>
      </c>
      <c r="E36" s="296">
        <f t="shared" ref="E36:I36" si="6">E29/(E29+E30)</f>
        <v>3.6900746020945119E-2</v>
      </c>
      <c r="F36" s="296">
        <f t="shared" si="6"/>
        <v>1.6112882930379682E-2</v>
      </c>
      <c r="G36" s="296">
        <f t="shared" si="6"/>
        <v>-4.1715316831180431E-3</v>
      </c>
      <c r="H36" s="296">
        <f t="shared" si="6"/>
        <v>-2.3962217962513438E-2</v>
      </c>
      <c r="I36" s="296">
        <f t="shared" si="6"/>
        <v>-4.3268523976438683E-2</v>
      </c>
      <c r="J36" s="200" t="s">
        <v>392</v>
      </c>
    </row>
    <row r="37" spans="1:10" s="22" customFormat="1" x14ac:dyDescent="0.25">
      <c r="A37" s="47"/>
      <c r="B37" s="55" t="s">
        <v>337</v>
      </c>
      <c r="C37" s="47" t="s">
        <v>92</v>
      </c>
      <c r="D37" s="296">
        <f>D30/(D29+D30)</f>
        <v>1.0668804056069192</v>
      </c>
      <c r="E37" s="296">
        <f t="shared" ref="E37:I37" si="7">E30/(E29+E30)</f>
        <v>0.96309925397905494</v>
      </c>
      <c r="F37" s="296">
        <f t="shared" si="7"/>
        <v>0.98388711706962029</v>
      </c>
      <c r="G37" s="296">
        <f t="shared" si="7"/>
        <v>1.0041715316831179</v>
      </c>
      <c r="H37" s="296">
        <f t="shared" si="7"/>
        <v>1.0239622179625134</v>
      </c>
      <c r="I37" s="296">
        <f t="shared" si="7"/>
        <v>1.0432685239764388</v>
      </c>
      <c r="J37" s="200" t="s">
        <v>393</v>
      </c>
    </row>
    <row r="38" spans="1:10" s="22" customFormat="1" x14ac:dyDescent="0.25">
      <c r="A38" s="47"/>
      <c r="B38" s="50" t="s">
        <v>324</v>
      </c>
      <c r="C38" s="47" t="s">
        <v>92</v>
      </c>
      <c r="D38" s="286">
        <f>D36*D22+D37*D33</f>
        <v>9.3453580244041379E-2</v>
      </c>
      <c r="E38" s="286">
        <f t="shared" ref="E38:I38" si="8">E36*E22+E37*E33</f>
        <v>9.1195563736743424E-2</v>
      </c>
      <c r="F38" s="286">
        <f t="shared" si="8"/>
        <v>9.1648739152117742E-2</v>
      </c>
      <c r="G38" s="286">
        <f t="shared" si="8"/>
        <v>9.2090939390691989E-2</v>
      </c>
      <c r="H38" s="286">
        <f t="shared" si="8"/>
        <v>9.2522376351582808E-2</v>
      </c>
      <c r="I38" s="286">
        <f t="shared" si="8"/>
        <v>9.2943253822686381E-2</v>
      </c>
      <c r="J38" s="200" t="s">
        <v>391</v>
      </c>
    </row>
    <row r="39" spans="1:10" s="22" customFormat="1" x14ac:dyDescent="0.25">
      <c r="A39" s="47"/>
      <c r="B39" s="50"/>
      <c r="C39" s="47"/>
      <c r="D39" s="223"/>
      <c r="E39" s="91"/>
      <c r="F39" s="91"/>
      <c r="G39" s="91"/>
      <c r="H39" s="91"/>
      <c r="I39" s="91"/>
    </row>
    <row r="40" spans="1:10" s="22" customFormat="1" x14ac:dyDescent="0.25">
      <c r="A40" s="47"/>
      <c r="B40" s="50"/>
      <c r="C40" s="47"/>
      <c r="D40" s="223"/>
      <c r="E40" s="91"/>
      <c r="F40" s="91"/>
      <c r="G40" s="91"/>
      <c r="H40" s="91"/>
      <c r="I40" s="91"/>
    </row>
    <row r="41" spans="1:10" s="22" customFormat="1" x14ac:dyDescent="0.25">
      <c r="A41" s="51"/>
      <c r="B41" s="52" t="s">
        <v>69</v>
      </c>
      <c r="C41" s="52"/>
      <c r="D41" s="257">
        <f t="shared" ref="D41:J41" si="9">YEAR(D42)</f>
        <v>2020</v>
      </c>
      <c r="E41" s="89">
        <f t="shared" si="9"/>
        <v>2021</v>
      </c>
      <c r="F41" s="89">
        <f t="shared" si="9"/>
        <v>2022</v>
      </c>
      <c r="G41" s="89">
        <f t="shared" si="9"/>
        <v>2023</v>
      </c>
      <c r="H41" s="89">
        <f t="shared" si="9"/>
        <v>2024</v>
      </c>
      <c r="I41" s="89">
        <f t="shared" si="9"/>
        <v>2025</v>
      </c>
      <c r="J41" s="89">
        <f t="shared" si="9"/>
        <v>2026</v>
      </c>
    </row>
    <row r="42" spans="1:10" s="22" customFormat="1" x14ac:dyDescent="0.25">
      <c r="A42" s="153"/>
      <c r="B42" s="56" t="s">
        <v>68</v>
      </c>
      <c r="C42" s="56" t="s">
        <v>82</v>
      </c>
      <c r="D42" s="119">
        <f t="shared" ref="D42:I42" si="10">D17</f>
        <v>44103</v>
      </c>
      <c r="E42" s="119">
        <f t="shared" si="10"/>
        <v>44469</v>
      </c>
      <c r="F42" s="119">
        <f t="shared" si="10"/>
        <v>44834</v>
      </c>
      <c r="G42" s="119">
        <f t="shared" si="10"/>
        <v>45199</v>
      </c>
      <c r="H42" s="119">
        <f t="shared" si="10"/>
        <v>45565</v>
      </c>
      <c r="I42" s="119">
        <f t="shared" si="10"/>
        <v>45930</v>
      </c>
      <c r="J42" s="119">
        <f>EOMONTH(I42,12)</f>
        <v>46295</v>
      </c>
    </row>
    <row r="43" spans="1:10" s="22" customFormat="1" x14ac:dyDescent="0.25">
      <c r="A43" s="50" t="s">
        <v>338</v>
      </c>
      <c r="B43" s="47"/>
      <c r="C43" s="47"/>
      <c r="D43" s="223"/>
      <c r="E43" s="91"/>
      <c r="F43" s="91"/>
      <c r="G43" s="91"/>
      <c r="H43" s="91"/>
      <c r="I43" s="91"/>
    </row>
    <row r="44" spans="1:10" s="22" customFormat="1" x14ac:dyDescent="0.25">
      <c r="A44" s="47"/>
      <c r="B44" s="50"/>
      <c r="C44" s="47"/>
      <c r="D44" s="223"/>
      <c r="E44" s="91"/>
      <c r="F44" s="91"/>
      <c r="G44" s="91"/>
      <c r="H44" s="91"/>
      <c r="I44" s="91"/>
    </row>
    <row r="45" spans="1:10" x14ac:dyDescent="0.25">
      <c r="A45" s="47"/>
      <c r="B45" s="47" t="s">
        <v>340</v>
      </c>
      <c r="C45" s="47" t="s">
        <v>153</v>
      </c>
      <c r="D45" s="287">
        <f>Model!H19</f>
        <v>216.19999999999993</v>
      </c>
      <c r="E45" s="287">
        <f>Model!I19</f>
        <v>189.9058</v>
      </c>
      <c r="F45" s="287">
        <f>Model!J19</f>
        <v>250.70356800000002</v>
      </c>
      <c r="G45" s="287">
        <f>Model!K19</f>
        <v>256.88968127999999</v>
      </c>
      <c r="H45" s="287">
        <f>Model!L19</f>
        <v>263.24802802080006</v>
      </c>
      <c r="I45" s="287">
        <f>Model!M19</f>
        <v>269.78364172684809</v>
      </c>
    </row>
    <row r="46" spans="1:10" x14ac:dyDescent="0.25">
      <c r="A46" s="47"/>
      <c r="B46" s="47" t="s">
        <v>343</v>
      </c>
      <c r="C46" s="47" t="s">
        <v>92</v>
      </c>
      <c r="D46" s="289">
        <f>Model!H43</f>
        <v>0.39943609022556403</v>
      </c>
      <c r="E46" s="289">
        <f>Model!I43</f>
        <v>0.4</v>
      </c>
      <c r="F46" s="289">
        <f>Model!J43</f>
        <v>0.4</v>
      </c>
      <c r="G46" s="289">
        <f>Model!K43</f>
        <v>0.4</v>
      </c>
      <c r="H46" s="289">
        <f>Model!L43</f>
        <v>0.4</v>
      </c>
      <c r="I46" s="289">
        <f>Model!M43</f>
        <v>0.4</v>
      </c>
    </row>
    <row r="47" spans="1:10" x14ac:dyDescent="0.25">
      <c r="A47" s="47"/>
      <c r="B47" s="47" t="s">
        <v>344</v>
      </c>
      <c r="C47" s="47" t="s">
        <v>153</v>
      </c>
      <c r="D47" s="290">
        <f>D45*(1-D46)</f>
        <v>129.84191729323302</v>
      </c>
      <c r="E47" s="290">
        <f t="shared" ref="E47:I47" si="11">E45*(1-E46)</f>
        <v>113.94347999999999</v>
      </c>
      <c r="F47" s="290">
        <f t="shared" si="11"/>
        <v>150.42214079999999</v>
      </c>
      <c r="G47" s="290">
        <f t="shared" si="11"/>
        <v>154.13380876799999</v>
      </c>
      <c r="H47" s="290">
        <f t="shared" si="11"/>
        <v>157.94881681248003</v>
      </c>
      <c r="I47" s="290">
        <f t="shared" si="11"/>
        <v>161.87018503610884</v>
      </c>
    </row>
    <row r="48" spans="1:10" x14ac:dyDescent="0.25">
      <c r="A48" s="47"/>
      <c r="B48" s="47" t="s">
        <v>345</v>
      </c>
      <c r="C48" s="47" t="s">
        <v>153</v>
      </c>
      <c r="D48" s="288">
        <f>Model!H227</f>
        <v>0</v>
      </c>
      <c r="E48" s="288">
        <f>Model!I227</f>
        <v>0</v>
      </c>
      <c r="F48" s="288">
        <f>Model!J227</f>
        <v>0</v>
      </c>
      <c r="G48" s="288">
        <f>Model!K227</f>
        <v>0</v>
      </c>
      <c r="H48" s="288">
        <f>Model!L227</f>
        <v>0</v>
      </c>
      <c r="I48" s="288">
        <f>Model!M227</f>
        <v>0</v>
      </c>
    </row>
    <row r="49" spans="1:11" x14ac:dyDescent="0.25">
      <c r="A49" s="47"/>
      <c r="B49" s="50" t="s">
        <v>366</v>
      </c>
      <c r="C49" s="47" t="s">
        <v>153</v>
      </c>
      <c r="D49" s="291">
        <f>SUM(D47:D48)</f>
        <v>129.84191729323302</v>
      </c>
      <c r="E49" s="291">
        <f t="shared" ref="E49:I49" si="12">SUM(E47:E48)</f>
        <v>113.94347999999999</v>
      </c>
      <c r="F49" s="291">
        <f t="shared" si="12"/>
        <v>150.42214079999999</v>
      </c>
      <c r="G49" s="291">
        <f t="shared" si="12"/>
        <v>154.13380876799999</v>
      </c>
      <c r="H49" s="291">
        <f t="shared" si="12"/>
        <v>157.94881681248003</v>
      </c>
      <c r="I49" s="291">
        <f t="shared" si="12"/>
        <v>161.87018503610884</v>
      </c>
    </row>
    <row r="50" spans="1:11" s="22" customFormat="1" x14ac:dyDescent="0.25">
      <c r="A50" s="47"/>
      <c r="B50" s="55" t="s">
        <v>91</v>
      </c>
      <c r="C50" s="47" t="s">
        <v>92</v>
      </c>
      <c r="D50" s="291"/>
      <c r="E50" s="306">
        <f>E49/D49-1</f>
        <v>-0.12244456662888181</v>
      </c>
      <c r="F50" s="306">
        <f t="shared" ref="F50:I50" si="13">F49/E49-1</f>
        <v>0.32014697813336923</v>
      </c>
      <c r="G50" s="306">
        <f t="shared" si="13"/>
        <v>2.4675010927646568E-2</v>
      </c>
      <c r="H50" s="306">
        <f t="shared" si="13"/>
        <v>2.4751273422577436E-2</v>
      </c>
      <c r="I50" s="306">
        <f t="shared" si="13"/>
        <v>2.4826828733287343E-2</v>
      </c>
    </row>
    <row r="51" spans="1:11" x14ac:dyDescent="0.25">
      <c r="A51" s="47"/>
      <c r="B51" s="47" t="s">
        <v>342</v>
      </c>
      <c r="C51" s="47" t="s">
        <v>153</v>
      </c>
      <c r="D51" s="288">
        <f>Model!H220</f>
        <v>53.8</v>
      </c>
      <c r="E51" s="288">
        <f>Model!I220</f>
        <v>55.978999999999999</v>
      </c>
      <c r="F51" s="288">
        <f>Model!J220</f>
        <v>57.408042999999999</v>
      </c>
      <c r="G51" s="288">
        <f>Model!K220</f>
        <v>58.869372155000008</v>
      </c>
      <c r="H51" s="288">
        <f>Model!L220</f>
        <v>60.364294700874993</v>
      </c>
      <c r="I51" s="288">
        <f>Model!M220</f>
        <v>61.894136029446869</v>
      </c>
    </row>
    <row r="52" spans="1:11" s="22" customFormat="1" x14ac:dyDescent="0.25">
      <c r="A52" s="47"/>
      <c r="B52" s="50" t="s">
        <v>341</v>
      </c>
      <c r="C52" s="47" t="s">
        <v>153</v>
      </c>
      <c r="D52" s="291">
        <f>D49+D51</f>
        <v>183.64191729323301</v>
      </c>
      <c r="E52" s="291">
        <f t="shared" ref="E52:I52" si="14">E49+E51</f>
        <v>169.92248000000001</v>
      </c>
      <c r="F52" s="291">
        <f t="shared" si="14"/>
        <v>207.83018379999999</v>
      </c>
      <c r="G52" s="291">
        <f t="shared" si="14"/>
        <v>213.003180923</v>
      </c>
      <c r="H52" s="291">
        <f t="shared" si="14"/>
        <v>218.31311151335501</v>
      </c>
      <c r="I52" s="291">
        <f t="shared" si="14"/>
        <v>223.76432106555569</v>
      </c>
    </row>
    <row r="53" spans="1:11" x14ac:dyDescent="0.25">
      <c r="A53" s="47"/>
      <c r="B53" s="47" t="s">
        <v>346</v>
      </c>
      <c r="C53" s="47" t="s">
        <v>153</v>
      </c>
      <c r="D53" s="288">
        <f>Model!H222</f>
        <v>30.599999999999994</v>
      </c>
      <c r="E53" s="288">
        <f>Model!I222</f>
        <v>-39.685753424657548</v>
      </c>
      <c r="F53" s="288">
        <f>Model!J222</f>
        <v>4.1425972602739876</v>
      </c>
      <c r="G53" s="288">
        <f>Model!K222</f>
        <v>4.2577768767123416</v>
      </c>
      <c r="H53" s="288">
        <f>Model!L222</f>
        <v>4.3763208986301265</v>
      </c>
      <c r="I53" s="288">
        <f>Model!M222</f>
        <v>4.4983293483616933</v>
      </c>
    </row>
    <row r="54" spans="1:11" x14ac:dyDescent="0.25">
      <c r="A54" s="47"/>
      <c r="B54" s="47" t="s">
        <v>347</v>
      </c>
      <c r="C54" s="47" t="s">
        <v>153</v>
      </c>
      <c r="D54" s="288">
        <f>Model!H223</f>
        <v>5.3999999999999773</v>
      </c>
      <c r="E54" s="288">
        <f>Model!I223</f>
        <v>11.725073170731747</v>
      </c>
      <c r="F54" s="288">
        <f>Model!J223</f>
        <v>3.9337834146341493</v>
      </c>
      <c r="G54" s="288">
        <f>Model!K223</f>
        <v>4.0431572292682745</v>
      </c>
      <c r="H54" s="288">
        <f>Model!L223</f>
        <v>4.1557258614634236</v>
      </c>
      <c r="I54" s="288">
        <f>Model!M223</f>
        <v>4.2715842917776001</v>
      </c>
      <c r="K54" s="155"/>
    </row>
    <row r="55" spans="1:11" x14ac:dyDescent="0.25">
      <c r="A55" s="47"/>
      <c r="B55" s="47" t="s">
        <v>348</v>
      </c>
      <c r="C55" s="47" t="s">
        <v>153</v>
      </c>
      <c r="D55" s="288">
        <f>Model!H224</f>
        <v>-5.8000000000000114</v>
      </c>
      <c r="E55" s="288">
        <f>Model!I224</f>
        <v>10.958799999999997</v>
      </c>
      <c r="F55" s="288">
        <f>Model!J224</f>
        <v>4.7881520000000251</v>
      </c>
      <c r="G55" s="288">
        <f>Model!K224</f>
        <v>4.9212804400000039</v>
      </c>
      <c r="H55" s="288">
        <f>Model!L224</f>
        <v>5.058297572000015</v>
      </c>
      <c r="I55" s="288">
        <f>Model!M224</f>
        <v>5.1993190051480269</v>
      </c>
    </row>
    <row r="56" spans="1:11" x14ac:dyDescent="0.25">
      <c r="A56" s="47"/>
      <c r="B56" s="47" t="s">
        <v>349</v>
      </c>
      <c r="C56" s="47" t="s">
        <v>153</v>
      </c>
      <c r="D56" s="288">
        <f>Model!H225</f>
        <v>103.60000000000002</v>
      </c>
      <c r="E56" s="288">
        <f>Model!I225</f>
        <v>-171.31488219178084</v>
      </c>
      <c r="F56" s="288">
        <f>Model!J225</f>
        <v>2.6512622465753424</v>
      </c>
      <c r="G56" s="288">
        <f>Model!K225</f>
        <v>2.7249772010958822</v>
      </c>
      <c r="H56" s="288">
        <f>Model!L225</f>
        <v>2.8008453751232878</v>
      </c>
      <c r="I56" s="288">
        <f>Model!M225</f>
        <v>2.8789307829514712</v>
      </c>
    </row>
    <row r="57" spans="1:11" x14ac:dyDescent="0.25">
      <c r="A57" s="47"/>
      <c r="B57" s="47" t="s">
        <v>350</v>
      </c>
      <c r="C57" s="47" t="s">
        <v>153</v>
      </c>
      <c r="D57" s="288">
        <f>Model!H226</f>
        <v>-72.299999999999557</v>
      </c>
      <c r="E57" s="288">
        <f>Model!I226</f>
        <v>1.8367999999999824</v>
      </c>
      <c r="F57" s="288">
        <f>Model!J226</f>
        <v>8.568271999999979</v>
      </c>
      <c r="G57" s="288">
        <f>Model!K226</f>
        <v>8.8065018400000099</v>
      </c>
      <c r="H57" s="288">
        <f>Model!L226</f>
        <v>9.0516903920000118</v>
      </c>
      <c r="I57" s="288">
        <f>Model!M226</f>
        <v>9.3040445355280781</v>
      </c>
    </row>
    <row r="58" spans="1:11" s="22" customFormat="1" x14ac:dyDescent="0.25">
      <c r="A58" s="47"/>
      <c r="B58" s="50" t="s">
        <v>361</v>
      </c>
      <c r="C58" s="47" t="s">
        <v>153</v>
      </c>
      <c r="D58" s="291">
        <f>SUM(D53:D55)-SUM(D56:D57)</f>
        <v>-1.1000000000005059</v>
      </c>
      <c r="E58" s="291">
        <f t="shared" ref="E58:I58" si="15">SUM(E53:E55)-SUM(E56:E57)</f>
        <v>152.47620193785505</v>
      </c>
      <c r="F58" s="291">
        <f t="shared" si="15"/>
        <v>1.6449984283328405</v>
      </c>
      <c r="G58" s="291">
        <f t="shared" si="15"/>
        <v>1.6907355048847279</v>
      </c>
      <c r="H58" s="291">
        <f t="shared" si="15"/>
        <v>1.7378085649702655</v>
      </c>
      <c r="I58" s="291">
        <f t="shared" si="15"/>
        <v>1.7862573268077711</v>
      </c>
    </row>
    <row r="59" spans="1:11" x14ac:dyDescent="0.25">
      <c r="A59" s="47"/>
      <c r="B59" s="47" t="s">
        <v>351</v>
      </c>
      <c r="C59" s="47" t="s">
        <v>153</v>
      </c>
      <c r="D59" s="288">
        <f>Model!H231</f>
        <v>161.09999999999991</v>
      </c>
      <c r="E59" s="288">
        <f>Model!I231</f>
        <v>81.961600000000004</v>
      </c>
      <c r="F59" s="288">
        <f>Model!J231</f>
        <v>83.977664000000004</v>
      </c>
      <c r="G59" s="288">
        <f>Model!K231</f>
        <v>86.04978208</v>
      </c>
      <c r="H59" s="288">
        <f>Model!L231</f>
        <v>88.179591584000008</v>
      </c>
      <c r="I59" s="288">
        <f>Model!M231</f>
        <v>90.36877853353603</v>
      </c>
    </row>
    <row r="60" spans="1:11" x14ac:dyDescent="0.25">
      <c r="A60" s="47"/>
      <c r="B60" s="47" t="s">
        <v>352</v>
      </c>
      <c r="C60" s="47" t="s">
        <v>153</v>
      </c>
      <c r="D60" s="288">
        <f>Model!H232</f>
        <v>-26.899999999999977</v>
      </c>
      <c r="E60" s="288">
        <f>Model!I232</f>
        <v>21.298399999999958</v>
      </c>
      <c r="F60" s="288">
        <f>Model!J232</f>
        <v>10.584336000000064</v>
      </c>
      <c r="G60" s="288">
        <f>Model!K232</f>
        <v>10.878619920000006</v>
      </c>
      <c r="H60" s="288">
        <f>Model!L232</f>
        <v>11.181499895999991</v>
      </c>
      <c r="I60" s="288">
        <f>Model!M232</f>
        <v>11.493231485064086</v>
      </c>
    </row>
    <row r="61" spans="1:11" s="22" customFormat="1" x14ac:dyDescent="0.25">
      <c r="A61" s="47"/>
      <c r="B61" s="50" t="s">
        <v>362</v>
      </c>
      <c r="C61" s="47" t="s">
        <v>153</v>
      </c>
      <c r="D61" s="291">
        <f>SUM(D59:D60)</f>
        <v>134.19999999999993</v>
      </c>
      <c r="E61" s="291">
        <f t="shared" ref="E61:I61" si="16">SUM(E59:E60)</f>
        <v>103.25999999999996</v>
      </c>
      <c r="F61" s="291">
        <f t="shared" si="16"/>
        <v>94.562000000000069</v>
      </c>
      <c r="G61" s="291">
        <f t="shared" si="16"/>
        <v>96.928402000000006</v>
      </c>
      <c r="H61" s="291">
        <f t="shared" si="16"/>
        <v>99.361091479999999</v>
      </c>
      <c r="I61" s="291">
        <f t="shared" si="16"/>
        <v>101.86201001860012</v>
      </c>
    </row>
    <row r="62" spans="1:11" s="22" customFormat="1" x14ac:dyDescent="0.25">
      <c r="A62" s="47"/>
      <c r="B62" s="50" t="s">
        <v>363</v>
      </c>
      <c r="C62" s="47" t="s">
        <v>153</v>
      </c>
      <c r="D62" s="291">
        <f>D58+D61</f>
        <v>133.09999999999943</v>
      </c>
      <c r="E62" s="291">
        <f t="shared" ref="E62:I62" si="17">E58+E61</f>
        <v>255.73620193785501</v>
      </c>
      <c r="F62" s="291">
        <f t="shared" si="17"/>
        <v>96.206998428332909</v>
      </c>
      <c r="G62" s="291">
        <f t="shared" si="17"/>
        <v>98.619137504884733</v>
      </c>
      <c r="H62" s="291">
        <f t="shared" si="17"/>
        <v>101.09890004497026</v>
      </c>
      <c r="I62" s="291">
        <f t="shared" si="17"/>
        <v>103.64826734540789</v>
      </c>
      <c r="J62" s="218"/>
    </row>
    <row r="63" spans="1:11" s="22" customFormat="1" x14ac:dyDescent="0.25">
      <c r="A63" s="47"/>
      <c r="B63" s="55" t="s">
        <v>364</v>
      </c>
      <c r="C63" s="47" t="s">
        <v>92</v>
      </c>
      <c r="D63" s="292">
        <f>(D62-D51)/D49</f>
        <v>0.61074267581022779</v>
      </c>
      <c r="E63" s="292">
        <f t="shared" ref="E63:H63" si="18">(E62-E51)/E49</f>
        <v>1.7531253384384524</v>
      </c>
      <c r="F63" s="292">
        <f t="shared" si="18"/>
        <v>0.25793380696475843</v>
      </c>
      <c r="G63" s="292">
        <f t="shared" si="18"/>
        <v>0.25789128074889467</v>
      </c>
      <c r="H63" s="292">
        <f t="shared" si="18"/>
        <v>0.25789750228047736</v>
      </c>
      <c r="I63" s="292">
        <f>D93</f>
        <v>0.27777777777777779</v>
      </c>
      <c r="J63" s="220"/>
      <c r="K63" s="219"/>
    </row>
    <row r="64" spans="1:11" s="22" customFormat="1" x14ac:dyDescent="0.25">
      <c r="A64" s="47"/>
      <c r="B64" s="55" t="s">
        <v>365</v>
      </c>
      <c r="C64" s="55" t="s">
        <v>92</v>
      </c>
      <c r="D64" s="35"/>
      <c r="E64" s="294">
        <f>E49/(Model!H93+Model!H88+Model!H86-Model!H71-Model!H72)</f>
        <v>8.4956367432150307E-2</v>
      </c>
      <c r="F64" s="294">
        <f>F49/(Model!I93+Model!I88+Model!I86-Model!I71-Model!I72)</f>
        <v>9.7616040608288296E-2</v>
      </c>
      <c r="G64" s="294">
        <f>G49/(Model!J93+Model!J88+Model!J86-Model!J71-Model!J72)</f>
        <v>9.756810128531232E-2</v>
      </c>
      <c r="H64" s="294">
        <f>H49/(Model!K93+Model!K88+Model!K86-Model!K71-Model!K72)</f>
        <v>9.752901461921433E-2</v>
      </c>
      <c r="I64" s="294">
        <f>I49/(Model!L93+Model!L88+Model!L86-Model!L71-Model!L72)</f>
        <v>9.7498032544259511E-2</v>
      </c>
    </row>
    <row r="65" spans="1:10" s="22" customFormat="1" x14ac:dyDescent="0.25">
      <c r="A65" s="47"/>
      <c r="B65" s="55"/>
      <c r="C65" s="55"/>
      <c r="D65" s="35"/>
      <c r="E65" s="111"/>
      <c r="F65" s="111"/>
      <c r="G65" s="111"/>
      <c r="H65" s="111"/>
      <c r="I65" s="111"/>
    </row>
    <row r="66" spans="1:10" x14ac:dyDescent="0.25">
      <c r="A66" s="47"/>
      <c r="B66" s="50" t="s">
        <v>338</v>
      </c>
      <c r="C66" s="47" t="s">
        <v>153</v>
      </c>
      <c r="D66" s="291">
        <f>D52-D62</f>
        <v>50.541917293233581</v>
      </c>
      <c r="E66" s="291">
        <f t="shared" ref="E66:I66" si="19">E52-E62</f>
        <v>-85.813721937855007</v>
      </c>
      <c r="F66" s="291">
        <f t="shared" si="19"/>
        <v>111.62318537166708</v>
      </c>
      <c r="G66" s="291">
        <f t="shared" si="19"/>
        <v>114.38404341811527</v>
      </c>
      <c r="H66" s="291">
        <f t="shared" si="19"/>
        <v>117.21421146838475</v>
      </c>
      <c r="I66" s="291">
        <f t="shared" si="19"/>
        <v>120.1160537201478</v>
      </c>
      <c r="J66" s="207">
        <f>I49*(1-I63)</f>
        <v>116.90624474830082</v>
      </c>
    </row>
    <row r="67" spans="1:10" s="22" customFormat="1" x14ac:dyDescent="0.25">
      <c r="A67" s="47"/>
      <c r="B67" s="55" t="s">
        <v>91</v>
      </c>
      <c r="C67" s="55" t="s">
        <v>92</v>
      </c>
      <c r="D67" s="293"/>
      <c r="E67" s="294">
        <f>E66/D66-1</f>
        <v>-2.6978723114119676</v>
      </c>
      <c r="F67" s="294">
        <f t="shared" ref="F67:I67" si="20">F66/E66-1</f>
        <v>-2.3007614965413445</v>
      </c>
      <c r="G67" s="294">
        <f t="shared" si="20"/>
        <v>2.4733732846410783E-2</v>
      </c>
      <c r="H67" s="294">
        <f t="shared" si="20"/>
        <v>2.4742682333095845E-2</v>
      </c>
      <c r="I67" s="294">
        <f t="shared" si="20"/>
        <v>2.4756744215659765E-2</v>
      </c>
      <c r="J67" s="220"/>
    </row>
    <row r="68" spans="1:10" x14ac:dyDescent="0.25">
      <c r="A68" s="47"/>
      <c r="B68" s="47"/>
      <c r="C68" s="47"/>
      <c r="D68" s="24"/>
      <c r="E68" s="91"/>
      <c r="F68" s="91"/>
      <c r="G68" s="91"/>
      <c r="H68" s="91"/>
      <c r="I68" s="91"/>
    </row>
    <row r="69" spans="1:10" x14ac:dyDescent="0.25">
      <c r="A69" s="50" t="s">
        <v>353</v>
      </c>
      <c r="B69" s="55"/>
      <c r="C69" s="55"/>
      <c r="D69" s="24"/>
      <c r="E69" s="91"/>
      <c r="F69" s="91"/>
      <c r="G69" s="91"/>
      <c r="H69" s="91"/>
      <c r="I69" s="91"/>
    </row>
    <row r="70" spans="1:10" x14ac:dyDescent="0.25">
      <c r="A70" s="55"/>
      <c r="B70" s="55" t="s">
        <v>360</v>
      </c>
      <c r="C70" s="55" t="s">
        <v>64</v>
      </c>
      <c r="D70" s="26">
        <f>Model!H221+Model!H242</f>
        <v>9.6000000000004775</v>
      </c>
      <c r="E70" s="93">
        <f>Model!I221+Model!I242</f>
        <v>-47.057599999999915</v>
      </c>
      <c r="F70" s="93">
        <f>Model!J221+Model!J242</f>
        <v>3.0240960000000143</v>
      </c>
      <c r="G70" s="93">
        <f>Model!K221+Model!K242</f>
        <v>3.1081771199997945</v>
      </c>
      <c r="H70" s="93">
        <f>Model!L221+Model!L242</f>
        <v>3.1947142560001112</v>
      </c>
      <c r="I70" s="93">
        <f>Model!M221+Model!M242</f>
        <v>14.673409350986617</v>
      </c>
    </row>
    <row r="71" spans="1:10" x14ac:dyDescent="0.25">
      <c r="A71" s="55"/>
      <c r="B71" s="55" t="s">
        <v>354</v>
      </c>
      <c r="C71" s="55" t="s">
        <v>64</v>
      </c>
      <c r="D71" s="26">
        <f>Model!H20*(1-D46)</f>
        <v>0</v>
      </c>
      <c r="E71" s="93">
        <f>Model!I20*(1-E46)</f>
        <v>1.02</v>
      </c>
      <c r="F71" s="93">
        <f>Model!J20*(1-F46)</f>
        <v>0.73765440000000038</v>
      </c>
      <c r="G71" s="93">
        <f>Model!K20*(1-G46)</f>
        <v>0.75579897600000057</v>
      </c>
      <c r="H71" s="93">
        <f>Model!L20*(1-H46)</f>
        <v>0.77444803871999934</v>
      </c>
      <c r="I71" s="93">
        <f>Model!M20*(1-I46)</f>
        <v>0.79361632425600004</v>
      </c>
    </row>
    <row r="72" spans="1:10" x14ac:dyDescent="0.25">
      <c r="A72" s="55"/>
      <c r="B72" s="55" t="s">
        <v>355</v>
      </c>
      <c r="C72" s="55" t="s">
        <v>64</v>
      </c>
      <c r="D72" s="26">
        <f>Model!H21*(1-D46)</f>
        <v>2.041917293233082</v>
      </c>
      <c r="E72" s="93">
        <f>Model!I21*(1-E46)</f>
        <v>1.7831999999999999</v>
      </c>
      <c r="F72" s="93">
        <f>Model!J21*(1-F46)</f>
        <v>1.7831999999999999</v>
      </c>
      <c r="G72" s="93">
        <f>Model!K21*(1-G46)</f>
        <v>1.7831999999999999</v>
      </c>
      <c r="H72" s="93">
        <f>Model!L21*(1-H46)</f>
        <v>1.7831999999999999</v>
      </c>
      <c r="I72" s="93">
        <f>Model!M21*(1-I46)</f>
        <v>1.7831999999999999</v>
      </c>
    </row>
    <row r="73" spans="1:10" x14ac:dyDescent="0.25">
      <c r="A73" s="55"/>
      <c r="B73" s="55" t="s">
        <v>356</v>
      </c>
      <c r="C73" s="55" t="s">
        <v>64</v>
      </c>
      <c r="D73" s="26">
        <f>Model!H236+Model!H237</f>
        <v>37.799999999999997</v>
      </c>
      <c r="E73" s="93">
        <f>Model!I236+Model!I237</f>
        <v>99.504870337855124</v>
      </c>
      <c r="F73" s="93">
        <f>Model!J236+Model!J237</f>
        <v>-28.383948315667169</v>
      </c>
      <c r="G73" s="93">
        <f>Model!K236+Model!K237</f>
        <v>-29.102069169795477</v>
      </c>
      <c r="H73" s="93">
        <f>Model!L236+Model!L237</f>
        <v>-29.83251087996863</v>
      </c>
      <c r="I73" s="93">
        <f>Model!M236+Model!M237</f>
        <v>-19.186341972423847</v>
      </c>
    </row>
    <row r="74" spans="1:10" x14ac:dyDescent="0.25">
      <c r="A74" s="55"/>
      <c r="B74" s="55" t="s">
        <v>357</v>
      </c>
      <c r="C74" s="55" t="s">
        <v>64</v>
      </c>
      <c r="D74" s="26">
        <f>Model!H239</f>
        <v>76.7</v>
      </c>
      <c r="E74" s="93">
        <f>Model!I239</f>
        <v>59.985548399999992</v>
      </c>
      <c r="F74" s="93">
        <f>Model!J239</f>
        <v>79.169595455999996</v>
      </c>
      <c r="G74" s="93">
        <f>Model!K239</f>
        <v>81.146396104320004</v>
      </c>
      <c r="H74" s="93">
        <f>Model!L239</f>
        <v>83.178234371136014</v>
      </c>
      <c r="I74" s="93">
        <f>Model!M239</f>
        <v>85.266718720993367</v>
      </c>
    </row>
    <row r="75" spans="1:10" x14ac:dyDescent="0.25">
      <c r="A75" s="55"/>
      <c r="B75" s="55" t="s">
        <v>358</v>
      </c>
      <c r="C75" s="55" t="s">
        <v>64</v>
      </c>
      <c r="D75" s="26">
        <f>Model!H238</f>
        <v>0</v>
      </c>
      <c r="E75" s="93">
        <f>Model!I238</f>
        <v>0</v>
      </c>
      <c r="F75" s="93">
        <f>Model!J238</f>
        <v>0</v>
      </c>
      <c r="G75" s="93">
        <f>Model!K238</f>
        <v>0</v>
      </c>
      <c r="H75" s="93">
        <f>Model!L238</f>
        <v>0</v>
      </c>
      <c r="I75" s="93">
        <f>Model!M238</f>
        <v>0</v>
      </c>
    </row>
    <row r="76" spans="1:10" x14ac:dyDescent="0.25">
      <c r="A76" s="55"/>
      <c r="B76" s="50" t="s">
        <v>359</v>
      </c>
      <c r="C76" s="55" t="s">
        <v>64</v>
      </c>
      <c r="D76" s="27">
        <f t="shared" ref="D76:I76" si="21">D70-D71+D72-D73+D74-D75</f>
        <v>50.541917293233567</v>
      </c>
      <c r="E76" s="94">
        <f t="shared" si="21"/>
        <v>-85.813721937855036</v>
      </c>
      <c r="F76" s="94">
        <f t="shared" si="21"/>
        <v>111.62318537166718</v>
      </c>
      <c r="G76" s="94">
        <f t="shared" si="21"/>
        <v>114.38404341811528</v>
      </c>
      <c r="H76" s="94">
        <f t="shared" si="21"/>
        <v>117.21421146838475</v>
      </c>
      <c r="I76" s="94">
        <f t="shared" si="21"/>
        <v>120.11605372014783</v>
      </c>
      <c r="J76" s="207"/>
    </row>
    <row r="77" spans="1:10" s="22" customFormat="1" ht="16.5" thickBot="1" x14ac:dyDescent="0.3">
      <c r="A77" s="55"/>
      <c r="B77" s="50"/>
      <c r="C77" s="55"/>
      <c r="D77" s="27"/>
      <c r="E77" s="94"/>
      <c r="F77" s="94"/>
      <c r="G77" s="94"/>
      <c r="H77" s="94"/>
      <c r="I77" s="94"/>
      <c r="J77" s="207"/>
    </row>
    <row r="78" spans="1:10" s="22" customFormat="1" ht="16.5" thickTop="1" x14ac:dyDescent="0.25">
      <c r="A78" s="228"/>
      <c r="B78" s="228" t="str">
        <f>B16</f>
        <v>Fiscal year</v>
      </c>
      <c r="C78" s="228"/>
      <c r="D78" s="229" t="s">
        <v>300</v>
      </c>
      <c r="E78" s="230">
        <f t="shared" ref="E78:J78" si="22">YEAR(E79)</f>
        <v>2021</v>
      </c>
      <c r="F78" s="230">
        <f t="shared" si="22"/>
        <v>2022</v>
      </c>
      <c r="G78" s="230">
        <f t="shared" si="22"/>
        <v>2023</v>
      </c>
      <c r="H78" s="230">
        <f t="shared" si="22"/>
        <v>2024</v>
      </c>
      <c r="I78" s="230">
        <f t="shared" si="22"/>
        <v>2025</v>
      </c>
      <c r="J78" s="230">
        <f t="shared" si="22"/>
        <v>2026</v>
      </c>
    </row>
    <row r="79" spans="1:10" s="22" customFormat="1" x14ac:dyDescent="0.25">
      <c r="A79" s="158"/>
      <c r="B79" s="158" t="str">
        <f>B17</f>
        <v>Fiscal year end date</v>
      </c>
      <c r="C79" s="158" t="str">
        <f>C17</f>
        <v>Units</v>
      </c>
      <c r="D79" s="301">
        <f>C6</f>
        <v>44197</v>
      </c>
      <c r="E79" s="119">
        <f t="shared" ref="E79:J79" si="23">E42</f>
        <v>44469</v>
      </c>
      <c r="F79" s="119">
        <f t="shared" si="23"/>
        <v>44834</v>
      </c>
      <c r="G79" s="119">
        <f t="shared" si="23"/>
        <v>45199</v>
      </c>
      <c r="H79" s="119">
        <f t="shared" si="23"/>
        <v>45565</v>
      </c>
      <c r="I79" s="119">
        <f t="shared" si="23"/>
        <v>45930</v>
      </c>
      <c r="J79" s="119">
        <f t="shared" si="23"/>
        <v>46295</v>
      </c>
    </row>
    <row r="80" spans="1:10" x14ac:dyDescent="0.25">
      <c r="A80" s="47"/>
      <c r="B80" s="47"/>
      <c r="C80" s="47"/>
      <c r="D80" s="24"/>
      <c r="E80" s="91"/>
      <c r="F80" s="91"/>
      <c r="G80" s="91"/>
      <c r="H80" s="91"/>
      <c r="I80" s="91"/>
    </row>
    <row r="81" spans="1:10" x14ac:dyDescent="0.25">
      <c r="A81" s="50" t="s">
        <v>367</v>
      </c>
      <c r="B81" s="47"/>
      <c r="C81" s="47"/>
      <c r="D81" s="24"/>
      <c r="E81" s="91"/>
      <c r="F81" s="91"/>
      <c r="G81" s="91"/>
      <c r="H81" s="91"/>
      <c r="I81" s="91"/>
    </row>
    <row r="82" spans="1:10" x14ac:dyDescent="0.25">
      <c r="A82" s="47"/>
      <c r="B82" s="47" t="s">
        <v>368</v>
      </c>
      <c r="C82" s="47" t="s">
        <v>369</v>
      </c>
      <c r="D82" s="295">
        <f>YEARFRAC($D$79,D79)</f>
        <v>0</v>
      </c>
      <c r="E82" s="295">
        <f t="shared" ref="E82:I82" si="24">YEARFRAC($D$79,E79)</f>
        <v>0.74722222222222223</v>
      </c>
      <c r="F82" s="295">
        <f t="shared" si="24"/>
        <v>1.7472222222222222</v>
      </c>
      <c r="G82" s="295">
        <f t="shared" si="24"/>
        <v>2.7472222222222222</v>
      </c>
      <c r="H82" s="295">
        <f t="shared" si="24"/>
        <v>3.7472222222222222</v>
      </c>
      <c r="I82" s="295">
        <f t="shared" si="24"/>
        <v>4.7472222222222218</v>
      </c>
    </row>
    <row r="83" spans="1:10" s="22" customFormat="1" x14ac:dyDescent="0.25">
      <c r="A83" s="47"/>
      <c r="B83" s="47" t="s">
        <v>380</v>
      </c>
      <c r="C83" s="47"/>
      <c r="D83" s="224" t="s">
        <v>381</v>
      </c>
      <c r="E83" s="295">
        <f>E82-D82</f>
        <v>0.74722222222222223</v>
      </c>
      <c r="F83" s="295">
        <f t="shared" ref="F83:I83" si="25">F82-E82</f>
        <v>1</v>
      </c>
      <c r="G83" s="295">
        <f t="shared" si="25"/>
        <v>1</v>
      </c>
      <c r="H83" s="295">
        <f t="shared" si="25"/>
        <v>1</v>
      </c>
      <c r="I83" s="295">
        <f t="shared" si="25"/>
        <v>0.99999999999999956</v>
      </c>
    </row>
    <row r="84" spans="1:10" s="22" customFormat="1" x14ac:dyDescent="0.25">
      <c r="A84" s="47"/>
      <c r="B84" s="50" t="s">
        <v>383</v>
      </c>
      <c r="C84" s="47"/>
      <c r="D84" s="27"/>
      <c r="E84" s="291">
        <f>E66</f>
        <v>-85.813721937855007</v>
      </c>
      <c r="F84" s="291">
        <f t="shared" ref="F84:H84" si="26">F66</f>
        <v>111.62318537166708</v>
      </c>
      <c r="G84" s="291">
        <f t="shared" si="26"/>
        <v>114.38404341811527</v>
      </c>
      <c r="H84" s="291">
        <f t="shared" si="26"/>
        <v>117.21421146838475</v>
      </c>
      <c r="I84" s="291">
        <f>D96</f>
        <v>116.90624474830082</v>
      </c>
      <c r="J84" s="291">
        <f>D98</f>
        <v>119.82890086700833</v>
      </c>
    </row>
    <row r="85" spans="1:10" s="22" customFormat="1" x14ac:dyDescent="0.25">
      <c r="A85" s="47"/>
      <c r="B85" s="47"/>
      <c r="C85" s="47"/>
      <c r="D85" s="224"/>
      <c r="E85" s="93"/>
      <c r="F85" s="93"/>
      <c r="G85" s="93"/>
      <c r="H85" s="93"/>
      <c r="I85" s="93"/>
      <c r="J85" s="155"/>
    </row>
    <row r="86" spans="1:10" x14ac:dyDescent="0.25">
      <c r="A86" s="47"/>
      <c r="B86" s="50" t="s">
        <v>386</v>
      </c>
      <c r="C86" s="50" t="s">
        <v>153</v>
      </c>
      <c r="D86" s="291">
        <f t="shared" ref="D86:G86" si="27">(E83*E84*(1+D38)^(E83*0.5)+E86)/(1+D38)^E83</f>
        <v>1567.0513953594143</v>
      </c>
      <c r="E86" s="291">
        <f t="shared" si="27"/>
        <v>1741.5333057399257</v>
      </c>
      <c r="F86" s="291">
        <f t="shared" si="27"/>
        <v>1783.7514957412893</v>
      </c>
      <c r="G86" s="291">
        <f t="shared" si="27"/>
        <v>1827.7193401468292</v>
      </c>
      <c r="H86" s="291">
        <f>(I83*I84*(1+H38)^(I83*0.5)+I86)/(1+H38)^I83</f>
        <v>1873.5431820926062</v>
      </c>
      <c r="I86" s="293">
        <f>J84/(D92-D90)*(1+D92)^0.5</f>
        <v>1924.6930056575754</v>
      </c>
    </row>
    <row r="87" spans="1:10" x14ac:dyDescent="0.25">
      <c r="A87" s="47"/>
      <c r="B87" s="50" t="s">
        <v>387</v>
      </c>
      <c r="C87" s="50" t="s">
        <v>153</v>
      </c>
      <c r="D87" s="290">
        <f>(E84+E87)/(1+D38)^E83</f>
        <v>1479.8022838130532</v>
      </c>
      <c r="E87" s="290">
        <f t="shared" ref="E87:G87" si="28">(F84+F87)/(1+E38)^F83</f>
        <v>1667.7761972596893</v>
      </c>
      <c r="F87" s="290">
        <f t="shared" si="28"/>
        <v>1708.2468023838419</v>
      </c>
      <c r="G87" s="290">
        <f t="shared" si="28"/>
        <v>1750.4214245648425</v>
      </c>
      <c r="H87" s="290">
        <f>(I84+I87)/(1+H38)^I83</f>
        <v>1794.4051664142273</v>
      </c>
      <c r="I87" s="290">
        <f>J84/(D92-D90)</f>
        <v>1843.521551800128</v>
      </c>
      <c r="J87" s="155"/>
    </row>
    <row r="88" spans="1:10" s="22" customFormat="1" x14ac:dyDescent="0.25">
      <c r="A88" s="47"/>
      <c r="B88" s="50"/>
      <c r="C88" s="47"/>
      <c r="D88" s="24"/>
      <c r="E88" s="93"/>
      <c r="F88" s="93"/>
      <c r="G88" s="93"/>
      <c r="H88" s="93"/>
      <c r="I88" s="93"/>
      <c r="J88" s="155"/>
    </row>
    <row r="89" spans="1:10" x14ac:dyDescent="0.25">
      <c r="A89" s="47"/>
      <c r="B89" s="50" t="s">
        <v>434</v>
      </c>
      <c r="C89" s="47"/>
      <c r="D89" s="227"/>
      <c r="E89" s="91"/>
      <c r="F89" s="91"/>
      <c r="G89" s="91"/>
      <c r="H89" s="91"/>
      <c r="I89" s="91"/>
    </row>
    <row r="90" spans="1:10" s="22" customFormat="1" x14ac:dyDescent="0.25">
      <c r="A90" s="47"/>
      <c r="B90" s="47" t="s">
        <v>389</v>
      </c>
      <c r="C90" s="47" t="s">
        <v>92</v>
      </c>
      <c r="D90" s="298">
        <f>'Control Panel'!C22</f>
        <v>2.5000000000000001E-2</v>
      </c>
      <c r="E90" s="91"/>
      <c r="F90" s="91"/>
      <c r="G90" s="91"/>
      <c r="H90" s="91"/>
      <c r="I90" s="91"/>
    </row>
    <row r="91" spans="1:10" s="22" customFormat="1" x14ac:dyDescent="0.25">
      <c r="A91" s="47"/>
      <c r="B91" s="47" t="s">
        <v>370</v>
      </c>
      <c r="C91" s="47" t="s">
        <v>92</v>
      </c>
      <c r="D91" s="298">
        <f>'Control Panel'!C21</f>
        <v>0.09</v>
      </c>
      <c r="E91" s="91"/>
      <c r="F91" s="91"/>
      <c r="G91" s="91"/>
      <c r="H91" s="91"/>
      <c r="I91" s="91"/>
    </row>
    <row r="92" spans="1:10" s="22" customFormat="1" x14ac:dyDescent="0.25">
      <c r="A92" s="47"/>
      <c r="B92" s="47" t="s">
        <v>374</v>
      </c>
      <c r="C92" s="47" t="s">
        <v>92</v>
      </c>
      <c r="D92" s="298">
        <f>'Control Panel'!C20</f>
        <v>0.09</v>
      </c>
      <c r="E92" s="91"/>
      <c r="F92" s="91"/>
      <c r="G92" s="91"/>
      <c r="H92" s="91"/>
      <c r="I92" s="91"/>
    </row>
    <row r="93" spans="1:10" s="22" customFormat="1" x14ac:dyDescent="0.25">
      <c r="A93" s="47"/>
      <c r="B93" s="47" t="s">
        <v>375</v>
      </c>
      <c r="C93" s="47" t="s">
        <v>92</v>
      </c>
      <c r="D93" s="296">
        <f>D90/D91</f>
        <v>0.27777777777777779</v>
      </c>
      <c r="E93" s="91"/>
      <c r="F93" s="91"/>
      <c r="G93" s="91"/>
      <c r="H93" s="91"/>
      <c r="I93" s="91"/>
    </row>
    <row r="94" spans="1:10" s="22" customFormat="1" x14ac:dyDescent="0.25">
      <c r="A94" s="47"/>
      <c r="B94" s="50" t="s">
        <v>388</v>
      </c>
      <c r="C94" s="47"/>
      <c r="D94" s="225"/>
      <c r="E94" s="91"/>
      <c r="F94" s="91"/>
      <c r="G94" s="91"/>
      <c r="H94" s="91"/>
      <c r="I94" s="91"/>
    </row>
    <row r="95" spans="1:10" x14ac:dyDescent="0.25">
      <c r="A95" s="47"/>
      <c r="B95" s="47" t="s">
        <v>372</v>
      </c>
      <c r="C95" s="47" t="s">
        <v>153</v>
      </c>
      <c r="D95" s="26">
        <f>I49</f>
        <v>161.87018503610884</v>
      </c>
      <c r="E95" s="93"/>
      <c r="F95" s="93"/>
      <c r="G95" s="93"/>
      <c r="H95" s="91"/>
      <c r="I95" s="91"/>
    </row>
    <row r="96" spans="1:10" s="22" customFormat="1" x14ac:dyDescent="0.25">
      <c r="A96" s="47"/>
      <c r="B96" s="47" t="s">
        <v>384</v>
      </c>
      <c r="C96" s="47" t="s">
        <v>153</v>
      </c>
      <c r="D96" s="290">
        <f>D95*(1-D93)</f>
        <v>116.90624474830082</v>
      </c>
      <c r="E96" s="93"/>
      <c r="F96" s="93"/>
      <c r="G96" s="93"/>
      <c r="H96" s="91"/>
      <c r="I96" s="91"/>
    </row>
    <row r="97" spans="1:11" x14ac:dyDescent="0.25">
      <c r="A97" s="47"/>
      <c r="B97" s="47" t="s">
        <v>371</v>
      </c>
      <c r="C97" s="47" t="s">
        <v>153</v>
      </c>
      <c r="D97" s="297">
        <f>D95*(1+D90)</f>
        <v>165.91693966201154</v>
      </c>
      <c r="E97" s="226"/>
      <c r="F97" s="226"/>
      <c r="G97" s="93"/>
      <c r="H97" s="91"/>
      <c r="I97" s="91"/>
    </row>
    <row r="98" spans="1:11" s="22" customFormat="1" x14ac:dyDescent="0.25">
      <c r="A98" s="47"/>
      <c r="B98" s="47" t="s">
        <v>385</v>
      </c>
      <c r="C98" s="47" t="s">
        <v>153</v>
      </c>
      <c r="D98" s="290">
        <f>D97*(1-D93)</f>
        <v>119.82890086700833</v>
      </c>
      <c r="E98" s="226"/>
      <c r="F98" s="226"/>
      <c r="G98" s="93"/>
      <c r="H98" s="91"/>
      <c r="I98" s="91"/>
    </row>
    <row r="99" spans="1:11" s="22" customFormat="1" x14ac:dyDescent="0.25">
      <c r="A99" s="47"/>
      <c r="B99" s="47"/>
      <c r="C99" s="47"/>
      <c r="D99" s="26"/>
      <c r="E99" s="226"/>
      <c r="F99" s="226"/>
      <c r="G99" s="93"/>
      <c r="H99" s="91"/>
      <c r="I99" s="91"/>
    </row>
    <row r="100" spans="1:11" x14ac:dyDescent="0.25">
      <c r="A100" s="50" t="s">
        <v>328</v>
      </c>
      <c r="B100" s="47"/>
      <c r="C100" s="47"/>
      <c r="D100" s="24"/>
      <c r="E100" s="91"/>
      <c r="F100" s="91"/>
      <c r="G100" s="91"/>
      <c r="H100" s="91"/>
      <c r="I100" s="91"/>
    </row>
    <row r="101" spans="1:11" x14ac:dyDescent="0.25">
      <c r="A101" s="47"/>
      <c r="B101" s="47" t="s">
        <v>241</v>
      </c>
      <c r="C101" s="47" t="s">
        <v>153</v>
      </c>
      <c r="D101" s="303">
        <f>Model!H86</f>
        <v>7</v>
      </c>
      <c r="E101" s="307">
        <f>Model!I86</f>
        <v>106.50487033785512</v>
      </c>
      <c r="F101" s="307">
        <f>Model!J86</f>
        <v>78.120922022187955</v>
      </c>
      <c r="G101" s="307">
        <f>Model!K86</f>
        <v>49.018852852392477</v>
      </c>
      <c r="H101" s="307">
        <f>Model!L86</f>
        <v>19.186341972423847</v>
      </c>
      <c r="I101" s="307">
        <f>Model!M86</f>
        <v>0</v>
      </c>
    </row>
    <row r="102" spans="1:11" x14ac:dyDescent="0.25">
      <c r="A102" s="47"/>
      <c r="B102" s="47" t="s">
        <v>16</v>
      </c>
      <c r="C102" s="47" t="s">
        <v>153</v>
      </c>
      <c r="D102" s="303">
        <f>Model!H88</f>
        <v>73.3</v>
      </c>
      <c r="E102" s="303">
        <f>Model!I88</f>
        <v>73.3</v>
      </c>
      <c r="F102" s="303">
        <f>Model!J88</f>
        <v>73.3</v>
      </c>
      <c r="G102" s="303">
        <f>Model!K88</f>
        <v>73.3</v>
      </c>
      <c r="H102" s="303">
        <f>Model!L88</f>
        <v>73.3</v>
      </c>
      <c r="I102" s="303">
        <f>Model!M88</f>
        <v>73.3</v>
      </c>
    </row>
    <row r="103" spans="1:11" x14ac:dyDescent="0.25">
      <c r="A103" s="47"/>
      <c r="B103" s="47" t="s">
        <v>390</v>
      </c>
      <c r="C103" s="47" t="s">
        <v>153</v>
      </c>
      <c r="D103" s="302">
        <f>Model!H71</f>
        <v>148.57499999999999</v>
      </c>
      <c r="E103" s="302">
        <f>Model!I71</f>
        <v>122.94239999999999</v>
      </c>
      <c r="F103" s="302">
        <f>Model!J71</f>
        <v>125.96649600000001</v>
      </c>
      <c r="G103" s="302">
        <f>Model!K71</f>
        <v>129.07467312</v>
      </c>
      <c r="H103" s="302">
        <f>Model!L71</f>
        <v>132.269387376</v>
      </c>
      <c r="I103" s="302">
        <f>Model!M71</f>
        <v>135.55316780030404</v>
      </c>
    </row>
    <row r="104" spans="1:11" x14ac:dyDescent="0.25">
      <c r="A104" s="47"/>
      <c r="B104" s="47" t="s">
        <v>376</v>
      </c>
      <c r="C104" s="47" t="s">
        <v>153</v>
      </c>
      <c r="D104" s="302">
        <f>Model!H72</f>
        <v>21.425000000000011</v>
      </c>
      <c r="E104" s="302">
        <f>Model!I72</f>
        <v>9.2370555648813024E-14</v>
      </c>
      <c r="F104" s="302">
        <f>Model!J72</f>
        <v>9.2370555648813024E-14</v>
      </c>
      <c r="G104" s="302">
        <f>Model!K72</f>
        <v>-1.0658141036401503E-13</v>
      </c>
      <c r="H104" s="302">
        <f>Model!L72</f>
        <v>7.1054273576010019E-15</v>
      </c>
      <c r="I104" s="302">
        <f>Model!M72</f>
        <v>11.389628926682583</v>
      </c>
    </row>
    <row r="105" spans="1:11" x14ac:dyDescent="0.25">
      <c r="A105" s="47"/>
      <c r="B105" s="50" t="s">
        <v>328</v>
      </c>
      <c r="C105" s="47" t="s">
        <v>153</v>
      </c>
      <c r="D105" s="299">
        <f>SUM(D101:D102)-SUM(D103:D104)</f>
        <v>-89.7</v>
      </c>
      <c r="E105" s="308">
        <f t="shared" ref="E105:I105" si="29">SUM(E101:E102)-SUM(E103:E104)</f>
        <v>56.862470337855029</v>
      </c>
      <c r="F105" s="308">
        <f t="shared" si="29"/>
        <v>25.454426022187846</v>
      </c>
      <c r="G105" s="308">
        <f t="shared" si="29"/>
        <v>-6.7558202676074188</v>
      </c>
      <c r="H105" s="308">
        <f t="shared" si="29"/>
        <v>-39.783045403576153</v>
      </c>
      <c r="I105" s="308">
        <f t="shared" si="29"/>
        <v>-73.642796726986617</v>
      </c>
    </row>
    <row r="106" spans="1:11" x14ac:dyDescent="0.25">
      <c r="A106" s="47"/>
      <c r="B106" s="47"/>
      <c r="C106" s="47"/>
      <c r="D106" s="24"/>
      <c r="E106" s="91"/>
      <c r="F106" s="91"/>
      <c r="G106" s="91"/>
      <c r="H106" s="91"/>
      <c r="I106" s="91"/>
    </row>
    <row r="107" spans="1:11" x14ac:dyDescent="0.25">
      <c r="A107" s="50" t="s">
        <v>329</v>
      </c>
      <c r="B107" s="47"/>
      <c r="C107" s="47"/>
      <c r="D107" s="24"/>
      <c r="E107" s="91"/>
      <c r="F107" s="91"/>
      <c r="G107" s="91"/>
      <c r="H107" s="91"/>
      <c r="I107" s="91"/>
    </row>
    <row r="108" spans="1:11" x14ac:dyDescent="0.25">
      <c r="A108" s="47"/>
      <c r="B108" s="47" t="s">
        <v>373</v>
      </c>
      <c r="C108" s="47" t="s">
        <v>153</v>
      </c>
      <c r="D108" s="290">
        <f>IF($J$108="End of Period",D87,D86)</f>
        <v>1479.8022838130532</v>
      </c>
      <c r="E108" s="290">
        <f t="shared" ref="E108:I108" si="30">IF($J$108="End of Period",E87,E86)</f>
        <v>1667.7761972596893</v>
      </c>
      <c r="F108" s="290">
        <f t="shared" si="30"/>
        <v>1708.2468023838419</v>
      </c>
      <c r="G108" s="290">
        <f t="shared" si="30"/>
        <v>1750.4214245648425</v>
      </c>
      <c r="H108" s="290">
        <f t="shared" si="30"/>
        <v>1794.4051664142273</v>
      </c>
      <c r="I108" s="290">
        <f t="shared" si="30"/>
        <v>1843.521551800128</v>
      </c>
      <c r="J108" s="9" t="s">
        <v>205</v>
      </c>
      <c r="K108" t="s">
        <v>381</v>
      </c>
    </row>
    <row r="109" spans="1:11" x14ac:dyDescent="0.25">
      <c r="A109" s="47"/>
      <c r="B109" s="47" t="s">
        <v>377</v>
      </c>
      <c r="C109" s="47" t="s">
        <v>153</v>
      </c>
      <c r="D109" s="9">
        <f>D105</f>
        <v>-89.7</v>
      </c>
      <c r="E109" s="309">
        <f t="shared" ref="E109:I109" si="31">E105</f>
        <v>56.862470337855029</v>
      </c>
      <c r="F109" s="309">
        <f t="shared" si="31"/>
        <v>25.454426022187846</v>
      </c>
      <c r="G109" s="309">
        <f t="shared" si="31"/>
        <v>-6.7558202676074188</v>
      </c>
      <c r="H109" s="309">
        <f t="shared" si="31"/>
        <v>-39.783045403576153</v>
      </c>
      <c r="I109" s="309">
        <f t="shared" si="31"/>
        <v>-73.642796726986617</v>
      </c>
      <c r="K109" t="s">
        <v>205</v>
      </c>
    </row>
    <row r="110" spans="1:11" x14ac:dyDescent="0.25">
      <c r="A110" s="47"/>
      <c r="B110" s="50" t="s">
        <v>329</v>
      </c>
      <c r="C110" s="47" t="s">
        <v>153</v>
      </c>
      <c r="D110" s="293">
        <f>D108-D109</f>
        <v>1569.5022838130533</v>
      </c>
      <c r="E110" s="293">
        <f t="shared" ref="E110:I110" si="32">E108-E109</f>
        <v>1610.9137269218343</v>
      </c>
      <c r="F110" s="293">
        <f t="shared" si="32"/>
        <v>1682.7923763616541</v>
      </c>
      <c r="G110" s="293">
        <f t="shared" si="32"/>
        <v>1757.17724483245</v>
      </c>
      <c r="H110" s="293">
        <f t="shared" si="32"/>
        <v>1834.1882118178034</v>
      </c>
      <c r="I110" s="293">
        <f t="shared" si="32"/>
        <v>1917.1643485271147</v>
      </c>
    </row>
    <row r="111" spans="1:11" x14ac:dyDescent="0.25">
      <c r="A111" s="47"/>
      <c r="B111" s="47" t="s">
        <v>191</v>
      </c>
      <c r="C111" s="47" t="s">
        <v>80</v>
      </c>
      <c r="D111" s="9">
        <f>Model!H30</f>
        <v>10</v>
      </c>
      <c r="E111" s="9">
        <f>Model!I30</f>
        <v>10</v>
      </c>
      <c r="F111" s="9">
        <f>Model!J30</f>
        <v>10</v>
      </c>
      <c r="G111" s="9">
        <f>Model!K30</f>
        <v>10</v>
      </c>
      <c r="H111" s="9">
        <f>Model!L30</f>
        <v>10</v>
      </c>
      <c r="I111" s="9">
        <f>Model!M30</f>
        <v>10</v>
      </c>
    </row>
    <row r="112" spans="1:11" x14ac:dyDescent="0.25">
      <c r="A112" s="47"/>
      <c r="B112" s="50" t="s">
        <v>378</v>
      </c>
      <c r="C112" s="47" t="s">
        <v>379</v>
      </c>
      <c r="D112" s="300">
        <f>D110/D111</f>
        <v>156.95022838130532</v>
      </c>
      <c r="E112" s="300">
        <f t="shared" ref="E112:I112" si="33">E110/E111</f>
        <v>161.09137269218343</v>
      </c>
      <c r="F112" s="300">
        <f t="shared" si="33"/>
        <v>168.27923763616542</v>
      </c>
      <c r="G112" s="300">
        <f t="shared" si="33"/>
        <v>175.71772448324501</v>
      </c>
      <c r="H112" s="300">
        <f t="shared" si="33"/>
        <v>183.41882118178034</v>
      </c>
      <c r="I112" s="300">
        <f t="shared" si="33"/>
        <v>191.71643485271147</v>
      </c>
    </row>
  </sheetData>
  <dataValidations count="1">
    <dataValidation type="list" allowBlank="1" showInputMessage="1" showErrorMessage="1" sqref="J108" xr:uid="{00000000-0002-0000-0800-000000000000}">
      <formula1>$K$108:$K$109</formula1>
    </dataValidation>
  </dataValidations>
  <pageMargins left="0.7" right="0.7" top="0.75" bottom="0.75" header="0.3" footer="0.3"/>
  <pageSetup scale="74" fitToHeight="0" orientation="landscape" horizontalDpi="0" verticalDpi="0" r:id="rId1"/>
  <rowBreaks count="3" manualBreakCount="3">
    <brk id="39" max="16383" man="1"/>
    <brk id="67" max="16383" man="1"/>
    <brk id="76" max="16383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I46"/>
  <sheetViews>
    <sheetView topLeftCell="A22" workbookViewId="0">
      <selection activeCell="J11" sqref="J11"/>
    </sheetView>
  </sheetViews>
  <sheetFormatPr defaultColWidth="11" defaultRowHeight="15.75" x14ac:dyDescent="0.25"/>
  <cols>
    <col min="1" max="1" width="2.625" customWidth="1"/>
    <col min="2" max="2" width="34.875" bestFit="1" customWidth="1"/>
    <col min="3" max="3" width="8.625" customWidth="1"/>
  </cols>
  <sheetData>
    <row r="1" spans="1:9" ht="22.5" x14ac:dyDescent="0.3">
      <c r="A1" s="13" t="s">
        <v>18</v>
      </c>
    </row>
    <row r="2" spans="1:9" x14ac:dyDescent="0.25">
      <c r="A2" s="2"/>
    </row>
    <row r="4" spans="1:9" x14ac:dyDescent="0.25">
      <c r="B4" t="s">
        <v>69</v>
      </c>
      <c r="D4" s="2">
        <f>Model!D9</f>
        <v>2016</v>
      </c>
      <c r="E4" s="2">
        <f>Model!E9</f>
        <v>2017</v>
      </c>
      <c r="F4" s="2">
        <f>Model!F9</f>
        <v>2018</v>
      </c>
      <c r="G4" s="2">
        <f>Model!G9</f>
        <v>2019</v>
      </c>
      <c r="H4" s="2">
        <f>Model!H9</f>
        <v>2020</v>
      </c>
      <c r="I4" s="6" t="s">
        <v>37</v>
      </c>
    </row>
    <row r="5" spans="1:9" x14ac:dyDescent="0.25">
      <c r="B5" s="10"/>
      <c r="C5" s="10" t="s">
        <v>82</v>
      </c>
      <c r="D5" s="10"/>
      <c r="E5" s="10"/>
      <c r="F5" s="10"/>
      <c r="G5" s="10"/>
      <c r="H5" s="10"/>
      <c r="I5" s="15"/>
    </row>
    <row r="6" spans="1:9" x14ac:dyDescent="0.25">
      <c r="A6" s="2" t="s">
        <v>19</v>
      </c>
      <c r="I6" s="5"/>
    </row>
    <row r="7" spans="1:9" x14ac:dyDescent="0.25">
      <c r="B7" t="s">
        <v>20</v>
      </c>
      <c r="C7" t="s">
        <v>103</v>
      </c>
      <c r="D7" s="21">
        <v>2.2999999999999998</v>
      </c>
      <c r="E7" s="21">
        <v>2.1</v>
      </c>
      <c r="F7" s="21">
        <v>2.1</v>
      </c>
      <c r="G7" s="21">
        <v>2.2000000000000002</v>
      </c>
      <c r="H7" s="21">
        <v>2.1</v>
      </c>
      <c r="I7" s="16">
        <f>AVERAGE(D7:H7)</f>
        <v>2.1599999999999997</v>
      </c>
    </row>
    <row r="8" spans="1:9" x14ac:dyDescent="0.25">
      <c r="B8" t="s">
        <v>21</v>
      </c>
      <c r="C8" t="s">
        <v>103</v>
      </c>
      <c r="D8" s="21">
        <v>1.4</v>
      </c>
      <c r="E8" s="21">
        <v>1.2</v>
      </c>
      <c r="F8" s="21">
        <v>1.2</v>
      </c>
      <c r="G8" s="21">
        <v>1.2</v>
      </c>
      <c r="H8" s="21">
        <v>1.2</v>
      </c>
      <c r="I8" s="16">
        <f>AVERAGE(D8:H8)</f>
        <v>1.24</v>
      </c>
    </row>
    <row r="9" spans="1:9" x14ac:dyDescent="0.25">
      <c r="D9" s="1"/>
      <c r="E9" s="1"/>
      <c r="F9" s="1"/>
      <c r="G9" s="1"/>
      <c r="H9" s="1"/>
      <c r="I9" s="16"/>
    </row>
    <row r="10" spans="1:9" x14ac:dyDescent="0.25">
      <c r="A10" s="2" t="s">
        <v>22</v>
      </c>
      <c r="D10" s="1"/>
      <c r="E10" s="1"/>
      <c r="F10" s="1"/>
      <c r="G10" s="1"/>
      <c r="H10" s="1"/>
      <c r="I10" s="16"/>
    </row>
    <row r="11" spans="1:9" x14ac:dyDescent="0.25">
      <c r="B11" t="s">
        <v>99</v>
      </c>
      <c r="C11" t="s">
        <v>101</v>
      </c>
      <c r="D11" s="21">
        <v>57.9</v>
      </c>
      <c r="E11" s="21">
        <v>58.4</v>
      </c>
      <c r="F11" s="21">
        <v>54.2</v>
      </c>
      <c r="G11" s="21">
        <v>48.4</v>
      </c>
      <c r="H11" s="21">
        <v>49.4</v>
      </c>
      <c r="I11" s="16">
        <f t="shared" ref="I11:I45" si="0">AVERAGE(D11:H11)</f>
        <v>53.660000000000004</v>
      </c>
    </row>
    <row r="12" spans="1:9" x14ac:dyDescent="0.25">
      <c r="B12" t="s">
        <v>112</v>
      </c>
      <c r="C12" t="s">
        <v>101</v>
      </c>
      <c r="D12" s="21">
        <v>85</v>
      </c>
      <c r="E12" s="21">
        <v>90.8</v>
      </c>
      <c r="F12" s="21">
        <v>81.5</v>
      </c>
      <c r="G12" s="21">
        <v>76.2</v>
      </c>
      <c r="H12" s="21">
        <v>75.599999999999994</v>
      </c>
      <c r="I12" s="16">
        <f t="shared" si="0"/>
        <v>81.820000000000007</v>
      </c>
    </row>
    <row r="13" spans="1:9" x14ac:dyDescent="0.25">
      <c r="B13" t="s">
        <v>119</v>
      </c>
      <c r="C13" t="s">
        <v>101</v>
      </c>
      <c r="D13" s="21">
        <v>63</v>
      </c>
      <c r="E13" s="21">
        <v>70</v>
      </c>
      <c r="F13" s="21">
        <v>69</v>
      </c>
      <c r="G13" s="21">
        <v>70</v>
      </c>
      <c r="H13" s="21">
        <v>68</v>
      </c>
      <c r="I13" s="16">
        <f t="shared" si="0"/>
        <v>68</v>
      </c>
    </row>
    <row r="14" spans="1:9" x14ac:dyDescent="0.25">
      <c r="B14" t="s">
        <v>104</v>
      </c>
      <c r="C14" t="s">
        <v>101</v>
      </c>
      <c r="D14" s="1">
        <v>142.9</v>
      </c>
      <c r="E14" s="1">
        <v>149.1</v>
      </c>
      <c r="F14" s="1">
        <v>135.69999999999999</v>
      </c>
      <c r="G14" s="1">
        <v>124.6</v>
      </c>
      <c r="H14" s="1">
        <v>125.1</v>
      </c>
      <c r="I14" s="16">
        <f t="shared" si="0"/>
        <v>135.47999999999999</v>
      </c>
    </row>
    <row r="15" spans="1:9" x14ac:dyDescent="0.25">
      <c r="B15" t="s">
        <v>105</v>
      </c>
      <c r="C15" t="s">
        <v>101</v>
      </c>
      <c r="D15" s="1">
        <f>D14-D13</f>
        <v>79.900000000000006</v>
      </c>
      <c r="E15" s="1">
        <f>E14-E13</f>
        <v>79.099999999999994</v>
      </c>
      <c r="F15" s="1">
        <f>F14-F13</f>
        <v>66.699999999999989</v>
      </c>
      <c r="G15" s="1">
        <f>G14-G13</f>
        <v>54.599999999999994</v>
      </c>
      <c r="H15" s="1">
        <f>H14-H13</f>
        <v>57.099999999999994</v>
      </c>
      <c r="I15" s="16">
        <f t="shared" si="0"/>
        <v>67.47999999999999</v>
      </c>
    </row>
    <row r="16" spans="1:9" x14ac:dyDescent="0.25">
      <c r="B16" t="s">
        <v>23</v>
      </c>
      <c r="C16" t="s">
        <v>103</v>
      </c>
      <c r="D16" s="21">
        <v>3.9</v>
      </c>
      <c r="E16" s="21">
        <v>3.7</v>
      </c>
      <c r="F16" s="21">
        <v>4</v>
      </c>
      <c r="G16" s="21">
        <v>4.5</v>
      </c>
      <c r="H16" s="21">
        <v>5.3</v>
      </c>
      <c r="I16" s="16">
        <f t="shared" si="0"/>
        <v>4.28</v>
      </c>
    </row>
    <row r="17" spans="1:9" x14ac:dyDescent="0.25">
      <c r="B17" t="s">
        <v>24</v>
      </c>
      <c r="C17" t="s">
        <v>103</v>
      </c>
      <c r="D17" s="21">
        <v>1.1000000000000001</v>
      </c>
      <c r="E17" s="21">
        <v>1.1000000000000001</v>
      </c>
      <c r="F17" s="21">
        <v>1.1000000000000001</v>
      </c>
      <c r="G17" s="21">
        <v>1.3</v>
      </c>
      <c r="H17" s="21">
        <v>1.3</v>
      </c>
      <c r="I17" s="16">
        <f t="shared" si="0"/>
        <v>1.1800000000000002</v>
      </c>
    </row>
    <row r="18" spans="1:9" x14ac:dyDescent="0.25">
      <c r="D18" s="1"/>
      <c r="E18" s="1"/>
      <c r="F18" s="1"/>
      <c r="G18" s="1"/>
      <c r="H18" s="1"/>
      <c r="I18" s="16"/>
    </row>
    <row r="19" spans="1:9" x14ac:dyDescent="0.25">
      <c r="A19" s="2" t="s">
        <v>25</v>
      </c>
      <c r="D19" s="1"/>
      <c r="E19" s="1"/>
      <c r="F19" s="1"/>
      <c r="G19" s="1"/>
      <c r="H19" s="1"/>
      <c r="I19" s="16"/>
    </row>
    <row r="20" spans="1:9" x14ac:dyDescent="0.25">
      <c r="B20" t="s">
        <v>26</v>
      </c>
      <c r="C20" t="s">
        <v>92</v>
      </c>
      <c r="D20" s="21">
        <v>13.8</v>
      </c>
      <c r="E20" s="21">
        <v>13.6</v>
      </c>
      <c r="F20" s="21">
        <v>12.6</v>
      </c>
      <c r="G20" s="21">
        <v>13.8</v>
      </c>
      <c r="H20" s="21">
        <v>13.5</v>
      </c>
      <c r="I20" s="16">
        <f t="shared" si="0"/>
        <v>13.459999999999999</v>
      </c>
    </row>
    <row r="21" spans="1:9" x14ac:dyDescent="0.25">
      <c r="B21" t="s">
        <v>27</v>
      </c>
      <c r="C21" t="s">
        <v>92</v>
      </c>
      <c r="D21" s="21">
        <v>7.8</v>
      </c>
      <c r="E21" s="21">
        <v>7.6</v>
      </c>
      <c r="F21" s="21">
        <v>6.8</v>
      </c>
      <c r="G21" s="21">
        <v>8</v>
      </c>
      <c r="H21" s="21">
        <v>8.3000000000000007</v>
      </c>
      <c r="I21" s="16">
        <f t="shared" si="0"/>
        <v>7.7</v>
      </c>
    </row>
    <row r="22" spans="1:9" x14ac:dyDescent="0.25">
      <c r="B22" t="s">
        <v>28</v>
      </c>
      <c r="C22" t="s">
        <v>92</v>
      </c>
      <c r="D22" s="21">
        <v>5</v>
      </c>
      <c r="E22" s="21">
        <v>0.9</v>
      </c>
      <c r="F22" s="21">
        <v>3.4</v>
      </c>
      <c r="G22" s="21">
        <v>4.0999999999999996</v>
      </c>
      <c r="H22" s="21">
        <v>5.8</v>
      </c>
      <c r="I22" s="16">
        <f t="shared" si="0"/>
        <v>3.84</v>
      </c>
    </row>
    <row r="23" spans="1:9" x14ac:dyDescent="0.25">
      <c r="B23" t="s">
        <v>29</v>
      </c>
      <c r="C23" t="s">
        <v>92</v>
      </c>
      <c r="D23" s="21">
        <v>2.6</v>
      </c>
      <c r="E23" s="21">
        <v>-0.7</v>
      </c>
      <c r="F23" s="21">
        <v>2.2999999999999998</v>
      </c>
      <c r="G23" s="21">
        <v>3</v>
      </c>
      <c r="H23" s="21">
        <v>4.7</v>
      </c>
      <c r="I23" s="16">
        <f t="shared" si="0"/>
        <v>2.38</v>
      </c>
    </row>
    <row r="24" spans="1:9" x14ac:dyDescent="0.25">
      <c r="D24" s="1"/>
      <c r="E24" s="1"/>
      <c r="F24" s="1"/>
      <c r="G24" s="1"/>
      <c r="H24" s="1"/>
      <c r="I24" s="16"/>
    </row>
    <row r="25" spans="1:9" x14ac:dyDescent="0.25">
      <c r="A25" s="2" t="s">
        <v>32</v>
      </c>
      <c r="D25" s="1"/>
      <c r="E25" s="1"/>
      <c r="F25" s="1"/>
      <c r="G25" s="1"/>
      <c r="H25" s="1"/>
      <c r="I25" s="16"/>
    </row>
    <row r="26" spans="1:9" x14ac:dyDescent="0.25">
      <c r="B26" t="s">
        <v>53</v>
      </c>
      <c r="C26" t="s">
        <v>103</v>
      </c>
      <c r="D26" s="20">
        <v>13.1</v>
      </c>
      <c r="E26" s="20">
        <v>12.9</v>
      </c>
      <c r="F26" s="20">
        <v>6.2</v>
      </c>
      <c r="G26" s="20">
        <v>14.5</v>
      </c>
      <c r="H26" s="20">
        <v>12.7</v>
      </c>
      <c r="I26" s="8">
        <f t="shared" si="0"/>
        <v>11.88</v>
      </c>
    </row>
    <row r="27" spans="1:9" x14ac:dyDescent="0.25">
      <c r="B27" t="s">
        <v>54</v>
      </c>
      <c r="C27" t="s">
        <v>103</v>
      </c>
      <c r="D27" s="20">
        <v>34.200000000000003</v>
      </c>
      <c r="E27" s="20">
        <v>16.8</v>
      </c>
      <c r="F27" s="20">
        <v>13.6</v>
      </c>
      <c r="G27" s="20">
        <v>18.7</v>
      </c>
      <c r="H27" s="20">
        <v>16.3</v>
      </c>
      <c r="I27" s="8">
        <f t="shared" si="0"/>
        <v>19.919999999999998</v>
      </c>
    </row>
    <row r="28" spans="1:9" x14ac:dyDescent="0.25">
      <c r="B28" t="s">
        <v>33</v>
      </c>
      <c r="C28" t="s">
        <v>103</v>
      </c>
      <c r="D28" s="21">
        <v>1.7</v>
      </c>
      <c r="E28" s="21">
        <v>1.8</v>
      </c>
      <c r="F28" s="21">
        <v>1.9</v>
      </c>
      <c r="G28" s="21">
        <v>2</v>
      </c>
      <c r="H28" s="21">
        <v>2</v>
      </c>
      <c r="I28" s="16">
        <f t="shared" si="0"/>
        <v>1.8800000000000001</v>
      </c>
    </row>
    <row r="29" spans="1:9" x14ac:dyDescent="0.25">
      <c r="B29" t="s">
        <v>34</v>
      </c>
      <c r="C29" t="s">
        <v>103</v>
      </c>
      <c r="D29" s="21">
        <v>1.173913043478261</v>
      </c>
      <c r="E29" s="21">
        <v>1.1666666666666667</v>
      </c>
      <c r="F29" s="21">
        <v>0.80555555555555558</v>
      </c>
      <c r="G29" s="21">
        <v>0.75</v>
      </c>
      <c r="H29" s="21">
        <v>0.73170731707317083</v>
      </c>
      <c r="I29" s="16">
        <f t="shared" si="0"/>
        <v>0.92556851655473071</v>
      </c>
    </row>
    <row r="30" spans="1:9" x14ac:dyDescent="0.25">
      <c r="B30" t="s">
        <v>42</v>
      </c>
      <c r="C30" t="s">
        <v>103</v>
      </c>
      <c r="D30" s="21">
        <v>2.2999999999999998</v>
      </c>
      <c r="E30" s="21">
        <v>2.4</v>
      </c>
      <c r="F30" s="21">
        <v>3.6</v>
      </c>
      <c r="G30" s="21">
        <v>4</v>
      </c>
      <c r="H30" s="21">
        <v>4.0999999999999996</v>
      </c>
      <c r="I30" s="16">
        <f t="shared" si="0"/>
        <v>3.28</v>
      </c>
    </row>
    <row r="31" spans="1:9" x14ac:dyDescent="0.25">
      <c r="D31" s="1"/>
      <c r="E31" s="1"/>
      <c r="F31" s="1"/>
      <c r="G31" s="1"/>
      <c r="H31" s="1"/>
      <c r="I31" s="16"/>
    </row>
    <row r="32" spans="1:9" x14ac:dyDescent="0.25">
      <c r="A32" s="2" t="s">
        <v>7</v>
      </c>
      <c r="D32" s="1"/>
      <c r="E32" s="1"/>
      <c r="F32" s="1"/>
      <c r="G32" s="1"/>
      <c r="H32" s="1"/>
      <c r="I32" s="16"/>
    </row>
    <row r="33" spans="1:9" x14ac:dyDescent="0.25">
      <c r="B33" t="s">
        <v>35</v>
      </c>
      <c r="D33" s="19">
        <v>9.4E-2</v>
      </c>
      <c r="E33" s="19">
        <v>0.14399999999999999</v>
      </c>
      <c r="F33" s="19">
        <v>0.114</v>
      </c>
      <c r="G33" s="19">
        <v>0.13900000000000001</v>
      </c>
      <c r="H33" s="19">
        <v>9.6000000000000002E-2</v>
      </c>
      <c r="I33" s="7">
        <f t="shared" si="0"/>
        <v>0.11739999999999999</v>
      </c>
    </row>
    <row r="34" spans="1:9" x14ac:dyDescent="0.25">
      <c r="D34" s="1"/>
      <c r="E34" s="1"/>
      <c r="F34" s="1"/>
      <c r="G34" s="1"/>
      <c r="H34" s="1"/>
      <c r="I34" s="16"/>
    </row>
    <row r="35" spans="1:9" x14ac:dyDescent="0.25">
      <c r="A35" s="2" t="s">
        <v>39</v>
      </c>
      <c r="D35" s="1"/>
      <c r="E35" s="1"/>
      <c r="F35" s="1"/>
      <c r="G35" s="1"/>
      <c r="H35" s="1"/>
      <c r="I35" s="16"/>
    </row>
    <row r="36" spans="1:9" x14ac:dyDescent="0.25">
      <c r="B36" t="s">
        <v>36</v>
      </c>
      <c r="D36" s="19">
        <v>0.02</v>
      </c>
      <c r="E36" s="19">
        <v>2.1999999999999999E-2</v>
      </c>
      <c r="F36" s="19">
        <v>0.02</v>
      </c>
      <c r="G36" s="19">
        <v>2.4E-2</v>
      </c>
      <c r="H36" s="19">
        <v>2.5999999999999999E-2</v>
      </c>
      <c r="I36" s="7">
        <f t="shared" si="0"/>
        <v>2.2399999999999996E-2</v>
      </c>
    </row>
    <row r="37" spans="1:9" x14ac:dyDescent="0.25">
      <c r="B37" t="s">
        <v>40</v>
      </c>
      <c r="D37" s="20">
        <v>24.2</v>
      </c>
      <c r="E37" s="20">
        <v>19.399999999999999</v>
      </c>
      <c r="F37" s="20">
        <v>18.2</v>
      </c>
      <c r="G37" s="20">
        <v>18.3</v>
      </c>
      <c r="H37" s="20">
        <v>19.7</v>
      </c>
      <c r="I37" s="8">
        <f t="shared" si="0"/>
        <v>19.96</v>
      </c>
    </row>
    <row r="38" spans="1:9" x14ac:dyDescent="0.25">
      <c r="B38" t="s">
        <v>41</v>
      </c>
      <c r="D38" s="20">
        <v>1.7</v>
      </c>
      <c r="E38" s="20">
        <v>1.5</v>
      </c>
      <c r="F38" s="20">
        <v>1.3</v>
      </c>
      <c r="G38" s="20">
        <v>1.5</v>
      </c>
      <c r="H38" s="20">
        <v>1.7</v>
      </c>
      <c r="I38" s="8">
        <f t="shared" si="0"/>
        <v>1.54</v>
      </c>
    </row>
    <row r="39" spans="1:9" x14ac:dyDescent="0.25">
      <c r="I39" s="16"/>
    </row>
    <row r="40" spans="1:9" x14ac:dyDescent="0.25">
      <c r="A40" s="2" t="s">
        <v>44</v>
      </c>
      <c r="I40" s="16"/>
    </row>
    <row r="41" spans="1:9" x14ac:dyDescent="0.25">
      <c r="B41" t="s">
        <v>45</v>
      </c>
      <c r="D41" s="4">
        <f>D23/100</f>
        <v>2.6000000000000002E-2</v>
      </c>
      <c r="E41" s="4">
        <f>E23/100</f>
        <v>-6.9999999999999993E-3</v>
      </c>
      <c r="F41" s="4">
        <f>F23/100</f>
        <v>2.3E-2</v>
      </c>
      <c r="G41" s="4">
        <f>G23/100</f>
        <v>0.03</v>
      </c>
      <c r="H41" s="4">
        <f>H23/100</f>
        <v>4.7E-2</v>
      </c>
      <c r="I41" s="17">
        <f t="shared" si="0"/>
        <v>2.3800000000000002E-2</v>
      </c>
    </row>
    <row r="42" spans="1:9" x14ac:dyDescent="0.25">
      <c r="B42" t="s">
        <v>46</v>
      </c>
      <c r="D42" s="3">
        <f>D17</f>
        <v>1.1000000000000001</v>
      </c>
      <c r="E42" s="3">
        <f>E17</f>
        <v>1.1000000000000001</v>
      </c>
      <c r="F42" s="3">
        <f>F17</f>
        <v>1.1000000000000001</v>
      </c>
      <c r="G42" s="3">
        <f>G17</f>
        <v>1.3</v>
      </c>
      <c r="H42" s="3">
        <f>H17</f>
        <v>1.3</v>
      </c>
      <c r="I42" s="18">
        <f t="shared" si="0"/>
        <v>1.1800000000000002</v>
      </c>
    </row>
    <row r="43" spans="1:9" x14ac:dyDescent="0.25">
      <c r="B43" t="s">
        <v>47</v>
      </c>
      <c r="D43" s="1">
        <f>D30</f>
        <v>2.2999999999999998</v>
      </c>
      <c r="E43" s="1">
        <f>E30</f>
        <v>2.4</v>
      </c>
      <c r="F43" s="1">
        <f>F30</f>
        <v>3.6</v>
      </c>
      <c r="G43" s="1">
        <f>G30</f>
        <v>4</v>
      </c>
      <c r="H43" s="1">
        <f>H30</f>
        <v>4.0999999999999996</v>
      </c>
      <c r="I43" s="16">
        <f t="shared" si="0"/>
        <v>3.28</v>
      </c>
    </row>
    <row r="44" spans="1:9" x14ac:dyDescent="0.25">
      <c r="B44" t="s">
        <v>31</v>
      </c>
      <c r="D44" s="4">
        <f>PRODUCT(D41:D43)</f>
        <v>6.5780000000000005E-2</v>
      </c>
      <c r="E44" s="4">
        <f>PRODUCT(E41:E43)</f>
        <v>-1.848E-2</v>
      </c>
      <c r="F44" s="4">
        <f>PRODUCT(F41:F43)</f>
        <v>9.1080000000000008E-2</v>
      </c>
      <c r="G44" s="4">
        <f>PRODUCT(G41:G43)</f>
        <v>0.156</v>
      </c>
      <c r="H44" s="4">
        <f>PRODUCT(H41:H43)</f>
        <v>0.25051000000000001</v>
      </c>
      <c r="I44" s="7">
        <f t="shared" si="0"/>
        <v>0.10897799999999999</v>
      </c>
    </row>
    <row r="45" spans="1:9" x14ac:dyDescent="0.25">
      <c r="B45" t="s">
        <v>30</v>
      </c>
      <c r="D45" s="4">
        <f>D41*D42</f>
        <v>2.8600000000000004E-2</v>
      </c>
      <c r="E45" s="4">
        <f>E41*E42</f>
        <v>-7.7000000000000002E-3</v>
      </c>
      <c r="F45" s="4">
        <f>F41*F42</f>
        <v>2.5300000000000003E-2</v>
      </c>
      <c r="G45" s="4">
        <f>G41*G42</f>
        <v>3.9E-2</v>
      </c>
      <c r="H45" s="4">
        <f>H41*H42</f>
        <v>6.1100000000000002E-2</v>
      </c>
      <c r="I45" s="7">
        <f t="shared" si="0"/>
        <v>2.9259999999999998E-2</v>
      </c>
    </row>
    <row r="46" spans="1:9" x14ac:dyDescent="0.25">
      <c r="H46" t="s">
        <v>52</v>
      </c>
    </row>
  </sheetData>
  <pageMargins left="0.75" right="0.75" top="1" bottom="1" header="0.5" footer="0.5"/>
  <pageSetup orientation="portrait" horizontalDpi="4294967292" verticalDpi="429496729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"/>
  <dimension ref="A1:H63"/>
  <sheetViews>
    <sheetView topLeftCell="A4" workbookViewId="0">
      <selection activeCell="D12" sqref="D12"/>
    </sheetView>
  </sheetViews>
  <sheetFormatPr defaultColWidth="11" defaultRowHeight="15.75" x14ac:dyDescent="0.25"/>
  <cols>
    <col min="1" max="1" width="2.625" customWidth="1"/>
    <col min="2" max="2" width="42.5" bestFit="1" customWidth="1"/>
    <col min="3" max="3" width="14.75" bestFit="1" customWidth="1"/>
  </cols>
  <sheetData>
    <row r="1" spans="1:8" ht="22.5" x14ac:dyDescent="0.3">
      <c r="A1" s="46" t="str">
        <f>C3</f>
        <v>Inglis' Steel Mills</v>
      </c>
      <c r="B1" s="47"/>
      <c r="C1" s="47"/>
      <c r="D1" s="47"/>
      <c r="E1" s="47"/>
      <c r="F1" s="47"/>
      <c r="G1" s="47"/>
      <c r="H1" s="47"/>
    </row>
    <row r="2" spans="1:8" ht="15.6" customHeight="1" x14ac:dyDescent="0.25">
      <c r="A2" s="47"/>
      <c r="B2" s="47"/>
      <c r="C2" s="47"/>
      <c r="D2" s="47"/>
      <c r="E2" s="47"/>
      <c r="F2" s="47"/>
      <c r="G2" s="47"/>
      <c r="H2" s="47"/>
    </row>
    <row r="3" spans="1:8" ht="15.6" customHeight="1" x14ac:dyDescent="0.25">
      <c r="A3" s="47"/>
      <c r="B3" s="47" t="s">
        <v>65</v>
      </c>
      <c r="C3" s="252" t="str">
        <f>Assumptions!C3</f>
        <v>Inglis' Steel Mills</v>
      </c>
      <c r="D3" s="47"/>
      <c r="E3" s="47"/>
      <c r="F3" s="47"/>
      <c r="G3" s="47"/>
      <c r="H3" s="47"/>
    </row>
    <row r="4" spans="1:8" ht="15.6" customHeight="1" x14ac:dyDescent="0.25">
      <c r="A4" s="47"/>
      <c r="B4" s="47" t="s">
        <v>66</v>
      </c>
      <c r="C4" s="252" t="str">
        <f>Assumptions!C4</f>
        <v>ISM</v>
      </c>
      <c r="D4" s="47"/>
      <c r="E4" s="47"/>
      <c r="F4" s="47"/>
      <c r="G4" s="47"/>
      <c r="H4" s="47"/>
    </row>
    <row r="5" spans="1:8" ht="15.6" customHeight="1" x14ac:dyDescent="0.25">
      <c r="A5" s="47"/>
      <c r="B5" s="47" t="s">
        <v>67</v>
      </c>
      <c r="C5" s="253">
        <f>Assumptions!C5</f>
        <v>44103</v>
      </c>
      <c r="D5" s="47"/>
      <c r="E5" s="47"/>
      <c r="F5" s="47"/>
      <c r="G5" s="47"/>
      <c r="H5" s="47"/>
    </row>
    <row r="6" spans="1:8" ht="15.6" customHeight="1" x14ac:dyDescent="0.25">
      <c r="A6" s="47"/>
      <c r="B6" s="47"/>
      <c r="C6" s="47"/>
      <c r="D6" s="47"/>
      <c r="E6" s="47"/>
      <c r="F6" s="47"/>
      <c r="G6" s="47"/>
      <c r="H6" s="47"/>
    </row>
    <row r="7" spans="1:8" x14ac:dyDescent="0.25">
      <c r="A7" s="47"/>
      <c r="B7" s="47"/>
      <c r="C7" s="47"/>
      <c r="D7" s="47"/>
      <c r="E7" s="47"/>
      <c r="F7" s="47"/>
      <c r="G7" s="47"/>
      <c r="H7" s="47"/>
    </row>
    <row r="8" spans="1:8" x14ac:dyDescent="0.25">
      <c r="A8" s="50" t="s">
        <v>120</v>
      </c>
      <c r="B8" s="47"/>
      <c r="C8" s="47"/>
      <c r="D8" s="47"/>
      <c r="E8" s="47"/>
      <c r="F8" s="47"/>
      <c r="G8" s="47"/>
      <c r="H8" s="47"/>
    </row>
    <row r="9" spans="1:8" x14ac:dyDescent="0.25">
      <c r="A9" s="51"/>
      <c r="B9" s="52" t="s">
        <v>69</v>
      </c>
      <c r="C9" s="52"/>
      <c r="D9" s="72">
        <f>Model!D9</f>
        <v>2016</v>
      </c>
      <c r="E9" s="72">
        <f>Model!E9</f>
        <v>2017</v>
      </c>
      <c r="F9" s="72">
        <f>Model!F9</f>
        <v>2018</v>
      </c>
      <c r="G9" s="72">
        <f>Model!G9</f>
        <v>2019</v>
      </c>
      <c r="H9" s="72">
        <f>Model!H9</f>
        <v>2020</v>
      </c>
    </row>
    <row r="10" spans="1:8" x14ac:dyDescent="0.25">
      <c r="A10" s="53"/>
      <c r="B10" s="54" t="s">
        <v>68</v>
      </c>
      <c r="C10" s="54" t="s">
        <v>82</v>
      </c>
      <c r="D10" s="73">
        <f>Model!D10</f>
        <v>42643</v>
      </c>
      <c r="E10" s="73">
        <f>Model!E10</f>
        <v>43008</v>
      </c>
      <c r="F10" s="73">
        <f>Model!F10</f>
        <v>43373</v>
      </c>
      <c r="G10" s="73">
        <f>Model!G10</f>
        <v>43738</v>
      </c>
      <c r="H10" s="73">
        <f>Model!H10</f>
        <v>44103</v>
      </c>
    </row>
    <row r="11" spans="1:8" x14ac:dyDescent="0.25">
      <c r="A11" s="52"/>
      <c r="B11" s="52"/>
      <c r="C11" s="51"/>
      <c r="D11" s="34"/>
      <c r="E11" s="34"/>
      <c r="F11" s="34"/>
      <c r="G11" s="34"/>
      <c r="H11" s="34"/>
    </row>
    <row r="12" spans="1:8" x14ac:dyDescent="0.25">
      <c r="A12" s="47"/>
      <c r="B12" s="47" t="s">
        <v>1</v>
      </c>
      <c r="C12" s="55" t="s">
        <v>92</v>
      </c>
      <c r="D12" s="129">
        <f>Model!D12/Model!D$12</f>
        <v>1</v>
      </c>
      <c r="E12" s="129">
        <f>Model!E12/Model!E$12</f>
        <v>1</v>
      </c>
      <c r="F12" s="129">
        <f>Model!F12/Model!F$12</f>
        <v>1</v>
      </c>
      <c r="G12" s="129">
        <f>Model!G12/Model!G$12</f>
        <v>1</v>
      </c>
      <c r="H12" s="129">
        <f>Model!H12/Model!H$12</f>
        <v>1</v>
      </c>
    </row>
    <row r="13" spans="1:8" x14ac:dyDescent="0.25">
      <c r="A13" s="47"/>
      <c r="B13" s="47" t="s">
        <v>2</v>
      </c>
      <c r="C13" s="47" t="s">
        <v>92</v>
      </c>
      <c r="D13" s="129">
        <f>Model!D13/Model!D$12</f>
        <v>0.6280561122244489</v>
      </c>
      <c r="E13" s="129">
        <f>Model!E13/Model!E$12</f>
        <v>0.62667171334847338</v>
      </c>
      <c r="F13" s="129">
        <f>Model!F13/Model!F$12</f>
        <v>0.63084228942764309</v>
      </c>
      <c r="G13" s="129">
        <f>Model!G13/Model!G$12</f>
        <v>0.60031779661016949</v>
      </c>
      <c r="H13" s="129">
        <f>Model!H13/Model!H$12</f>
        <v>0.60770000000000002</v>
      </c>
    </row>
    <row r="14" spans="1:8" x14ac:dyDescent="0.25">
      <c r="A14" s="47"/>
      <c r="B14" s="50" t="s">
        <v>70</v>
      </c>
      <c r="C14" s="47" t="s">
        <v>92</v>
      </c>
      <c r="D14" s="161">
        <f>Model!D14/Model!D$12</f>
        <v>0.3719438877755511</v>
      </c>
      <c r="E14" s="161">
        <f>Model!E14/Model!E$12</f>
        <v>0.37332828665152668</v>
      </c>
      <c r="F14" s="161">
        <f>Model!F14/Model!F$12</f>
        <v>0.36915771057235691</v>
      </c>
      <c r="G14" s="161">
        <f>Model!G14/Model!G$12</f>
        <v>0.39968220338983046</v>
      </c>
      <c r="H14" s="161">
        <f>Model!H14/Model!H$12</f>
        <v>0.39229999999999998</v>
      </c>
    </row>
    <row r="15" spans="1:8" x14ac:dyDescent="0.25">
      <c r="A15" s="47"/>
      <c r="B15" s="47" t="s">
        <v>60</v>
      </c>
      <c r="C15" s="47" t="s">
        <v>92</v>
      </c>
      <c r="D15" s="129">
        <f>Model!D15/Model!D$12</f>
        <v>1.0955243820975282E-2</v>
      </c>
      <c r="E15" s="129">
        <f>Model!E15/Model!E$12</f>
        <v>1.0471864748927581E-2</v>
      </c>
      <c r="F15" s="129">
        <f>Model!F15/Model!F$12</f>
        <v>1.0622344413896525E-2</v>
      </c>
      <c r="G15" s="129">
        <f>Model!G15/Model!G$12</f>
        <v>9.2161016949152529E-3</v>
      </c>
      <c r="H15" s="129">
        <f>Model!H15/Model!H$12</f>
        <v>8.6E-3</v>
      </c>
    </row>
    <row r="16" spans="1:8" x14ac:dyDescent="0.25">
      <c r="A16" s="47"/>
      <c r="B16" s="47" t="s">
        <v>3</v>
      </c>
      <c r="C16" s="47" t="s">
        <v>92</v>
      </c>
      <c r="D16" s="129">
        <f>Model!D16/Model!D$12</f>
        <v>0.15390781563126252</v>
      </c>
      <c r="E16" s="129">
        <f>Model!E16/Model!E$12</f>
        <v>0.15367146101438303</v>
      </c>
      <c r="F16" s="129">
        <f>Model!F16/Model!F$12</f>
        <v>0.15321169707573104</v>
      </c>
      <c r="G16" s="129">
        <f>Model!G16/Model!G$12</f>
        <v>0.17012711864406782</v>
      </c>
      <c r="H16" s="129">
        <f>Model!H16/Model!H$12</f>
        <v>0.11370000000000001</v>
      </c>
    </row>
    <row r="17" spans="1:8" x14ac:dyDescent="0.25">
      <c r="A17" s="47"/>
      <c r="B17" s="50" t="s">
        <v>71</v>
      </c>
      <c r="C17" s="47" t="s">
        <v>92</v>
      </c>
      <c r="D17" s="161">
        <f>Model!D17/Model!D$12</f>
        <v>0.20708082832331326</v>
      </c>
      <c r="E17" s="161">
        <f>Model!E17/Model!E$12</f>
        <v>0.20918496088821603</v>
      </c>
      <c r="F17" s="161">
        <f>Model!F17/Model!F$12</f>
        <v>0.20532366908272937</v>
      </c>
      <c r="G17" s="161">
        <f>Model!G17/Model!G$12</f>
        <v>0.2203389830508474</v>
      </c>
      <c r="H17" s="161">
        <f>Model!H17/Model!H$12</f>
        <v>0.26999999999999996</v>
      </c>
    </row>
    <row r="18" spans="1:8" x14ac:dyDescent="0.25">
      <c r="A18" s="47"/>
      <c r="B18" s="47" t="s">
        <v>4</v>
      </c>
      <c r="C18" s="47" t="s">
        <v>92</v>
      </c>
      <c r="D18" s="129">
        <f>Model!D18/Model!D$12</f>
        <v>7.7221108884435535E-2</v>
      </c>
      <c r="E18" s="129">
        <f>Model!E18/Model!E$12</f>
        <v>6.7625536209941967E-2</v>
      </c>
      <c r="F18" s="129">
        <f>Model!F18/Model!F$12</f>
        <v>6.7858035491127205E-2</v>
      </c>
      <c r="G18" s="129">
        <f>Model!G18/Model!G$12</f>
        <v>5.2860169491525423E-2</v>
      </c>
      <c r="H18" s="129">
        <f>Model!H18/Model!H$12</f>
        <v>5.3800000000000001E-2</v>
      </c>
    </row>
    <row r="19" spans="1:8" x14ac:dyDescent="0.25">
      <c r="A19" s="47"/>
      <c r="B19" s="50" t="s">
        <v>72</v>
      </c>
      <c r="C19" s="47" t="s">
        <v>92</v>
      </c>
      <c r="D19" s="161">
        <f>Model!D19/Model!D$12</f>
        <v>0.12985971943887772</v>
      </c>
      <c r="E19" s="161">
        <f>Model!E19/Model!E$12</f>
        <v>0.14155942467827409</v>
      </c>
      <c r="F19" s="161">
        <f>Model!F19/Model!F$12</f>
        <v>0.13746563359160213</v>
      </c>
      <c r="G19" s="161">
        <f>Model!G19/Model!G$12</f>
        <v>0.16747881355932195</v>
      </c>
      <c r="H19" s="161">
        <f>Model!H19/Model!H$12</f>
        <v>0.21619999999999992</v>
      </c>
    </row>
    <row r="20" spans="1:8" x14ac:dyDescent="0.25">
      <c r="A20" s="47"/>
      <c r="B20" s="47" t="s">
        <v>63</v>
      </c>
      <c r="C20" s="47" t="s">
        <v>92</v>
      </c>
      <c r="D20" s="129">
        <f>Model!D20/Model!D$12</f>
        <v>0</v>
      </c>
      <c r="E20" s="129">
        <f>Model!E20/Model!E$12</f>
        <v>0</v>
      </c>
      <c r="F20" s="129">
        <f>Model!F20/Model!F$12</f>
        <v>0</v>
      </c>
      <c r="G20" s="129">
        <f>Model!G20/Model!G$12</f>
        <v>0</v>
      </c>
      <c r="H20" s="129">
        <f>Model!H20/Model!H$12</f>
        <v>0</v>
      </c>
    </row>
    <row r="21" spans="1:8" x14ac:dyDescent="0.25">
      <c r="A21" s="47"/>
      <c r="B21" s="47" t="s">
        <v>5</v>
      </c>
      <c r="C21" s="47" t="s">
        <v>92</v>
      </c>
      <c r="D21" s="129">
        <f>Model!D21/Model!D$12</f>
        <v>1.7100868403473614E-2</v>
      </c>
      <c r="E21" s="129">
        <f>Model!E21/Model!E$12</f>
        <v>4.5420136260408781E-3</v>
      </c>
      <c r="F21" s="129">
        <f>Model!F21/Model!F$12</f>
        <v>2.3369157710572356E-2</v>
      </c>
      <c r="G21" s="129">
        <f>Model!G21/Model!G$12</f>
        <v>3.283898305084746E-3</v>
      </c>
      <c r="H21" s="129">
        <f>Model!H21/Model!H$12</f>
        <v>3.3999999999999998E-3</v>
      </c>
    </row>
    <row r="22" spans="1:8" x14ac:dyDescent="0.25">
      <c r="A22" s="47"/>
      <c r="B22" s="47" t="s">
        <v>61</v>
      </c>
      <c r="C22" s="47" t="s">
        <v>92</v>
      </c>
      <c r="D22" s="162">
        <f>Model!D22/Model!D$12</f>
        <v>-2.9392117568470275E-3</v>
      </c>
      <c r="E22" s="129">
        <f>Model!E22/Model!E$12</f>
        <v>3.4065102195306586E-3</v>
      </c>
      <c r="F22" s="129">
        <f>Model!F22/Model!F$12</f>
        <v>8.4978755311172199E-3</v>
      </c>
      <c r="G22" s="129">
        <f>Model!G22/Model!G$12</f>
        <v>0</v>
      </c>
      <c r="H22" s="129">
        <f>Model!H22/Model!H$12</f>
        <v>0</v>
      </c>
    </row>
    <row r="23" spans="1:8" x14ac:dyDescent="0.25">
      <c r="A23" s="47"/>
      <c r="B23" s="50" t="s">
        <v>73</v>
      </c>
      <c r="C23" s="47" t="s">
        <v>92</v>
      </c>
      <c r="D23" s="161">
        <f>Model!D23/Model!D$12</f>
        <v>0.10981963927855708</v>
      </c>
      <c r="E23" s="161">
        <f>Model!E23/Model!E$12</f>
        <v>0.14042392127176387</v>
      </c>
      <c r="F23" s="161">
        <f>Model!F23/Model!F$12</f>
        <v>0.122594351412147</v>
      </c>
      <c r="G23" s="161">
        <f>Model!G23/Model!G$12</f>
        <v>0.16419491525423724</v>
      </c>
      <c r="H23" s="161">
        <f>Model!H23/Model!H$12</f>
        <v>0.21279999999999993</v>
      </c>
    </row>
    <row r="24" spans="1:8" x14ac:dyDescent="0.25">
      <c r="A24" s="47"/>
      <c r="B24" s="47" t="s">
        <v>6</v>
      </c>
      <c r="C24" s="47" t="s">
        <v>92</v>
      </c>
      <c r="D24" s="129">
        <f>Model!D24/Model!D$12</f>
        <v>3.9679358717434866E-2</v>
      </c>
      <c r="E24" s="129">
        <f>Model!E24/Model!E$12</f>
        <v>3.7597779460005046E-2</v>
      </c>
      <c r="F24" s="129">
        <f>Model!F24/Model!F$12</f>
        <v>3.29917520619845E-2</v>
      </c>
      <c r="G24" s="129">
        <f>Model!G24/Model!G$12</f>
        <v>6.5677966101694921E-2</v>
      </c>
      <c r="H24" s="129">
        <f>Model!H24/Model!H$12</f>
        <v>8.5000000000000006E-2</v>
      </c>
    </row>
    <row r="25" spans="1:8" x14ac:dyDescent="0.25">
      <c r="A25" s="47"/>
      <c r="B25" s="50" t="s">
        <v>74</v>
      </c>
      <c r="C25" s="47" t="s">
        <v>92</v>
      </c>
      <c r="D25" s="161">
        <f>Model!D25/Model!D$12</f>
        <v>7.0140280561122204E-2</v>
      </c>
      <c r="E25" s="161">
        <f>Model!E25/Model!E$12</f>
        <v>0.10282614181175884</v>
      </c>
      <c r="F25" s="161">
        <f>Model!F25/Model!F$12</f>
        <v>8.9602599350162515E-2</v>
      </c>
      <c r="G25" s="161">
        <f>Model!G25/Model!G$12</f>
        <v>9.8516949152542319E-2</v>
      </c>
      <c r="H25" s="161">
        <f>Model!H25/Model!H$12</f>
        <v>0.12779999999999991</v>
      </c>
    </row>
    <row r="26" spans="1:8" x14ac:dyDescent="0.25">
      <c r="A26" s="47"/>
      <c r="B26" s="47"/>
      <c r="C26" s="47"/>
      <c r="D26" s="129"/>
      <c r="E26" s="129"/>
      <c r="F26" s="129"/>
      <c r="G26" s="129"/>
      <c r="H26" s="129"/>
    </row>
    <row r="27" spans="1:8" x14ac:dyDescent="0.25">
      <c r="A27" s="47"/>
      <c r="B27" s="47" t="s">
        <v>7</v>
      </c>
      <c r="C27" s="47" t="s">
        <v>92</v>
      </c>
      <c r="D27" s="129">
        <f>Model!D27/Model!D$12</f>
        <v>2.8189712758851036E-2</v>
      </c>
      <c r="E27" s="129">
        <f>Model!E27/Model!E$12</f>
        <v>4.1130456724703508E-2</v>
      </c>
      <c r="F27" s="129">
        <f>Model!F27/Model!F$12</f>
        <v>5.3861534616345914E-2</v>
      </c>
      <c r="G27" s="129">
        <f>Model!G27/Model!G$12</f>
        <v>5.9110169491525422E-2</v>
      </c>
      <c r="H27" s="129">
        <f>Model!H27/Model!H$12</f>
        <v>7.6700000000000004E-2</v>
      </c>
    </row>
    <row r="28" spans="1:8" x14ac:dyDescent="0.25">
      <c r="A28" s="47"/>
      <c r="B28" s="47" t="s">
        <v>50</v>
      </c>
      <c r="C28" s="47" t="s">
        <v>92</v>
      </c>
      <c r="D28" s="129">
        <f>Model!D28/Model!D$12</f>
        <v>4.1950567802271167E-2</v>
      </c>
      <c r="E28" s="129">
        <f>Model!E28/Model!E$12</f>
        <v>6.1695685087055328E-2</v>
      </c>
      <c r="F28" s="129">
        <f>Model!F28/Model!F$12</f>
        <v>3.5741064733816601E-2</v>
      </c>
      <c r="G28" s="129">
        <f>Model!G28/Model!G$12</f>
        <v>3.940677966101689E-2</v>
      </c>
      <c r="H28" s="129">
        <f>Model!H28/Model!H$12</f>
        <v>5.1099999999999923E-2</v>
      </c>
    </row>
    <row r="29" spans="1:8" x14ac:dyDescent="0.25">
      <c r="A29" s="47"/>
      <c r="B29" s="47"/>
      <c r="C29" s="47"/>
      <c r="D29" s="163"/>
      <c r="E29" s="163"/>
      <c r="F29" s="163"/>
      <c r="G29" s="163"/>
      <c r="H29" s="163"/>
    </row>
    <row r="30" spans="1:8" x14ac:dyDescent="0.25">
      <c r="A30" s="47"/>
      <c r="B30" s="47"/>
      <c r="C30" s="47"/>
      <c r="D30" s="163"/>
      <c r="E30" s="163"/>
      <c r="F30" s="163"/>
      <c r="G30" s="163"/>
      <c r="H30" s="163"/>
    </row>
    <row r="31" spans="1:8" x14ac:dyDescent="0.25">
      <c r="A31" s="50" t="s">
        <v>258</v>
      </c>
      <c r="B31" s="47"/>
      <c r="C31" s="47"/>
      <c r="D31" s="163"/>
      <c r="E31" s="163"/>
      <c r="F31" s="163"/>
      <c r="G31" s="163"/>
      <c r="H31" s="163"/>
    </row>
    <row r="32" spans="1:8" x14ac:dyDescent="0.25">
      <c r="A32" s="52"/>
      <c r="B32" s="52" t="str">
        <f>B9</f>
        <v>Fiscal year</v>
      </c>
      <c r="C32" s="52"/>
      <c r="D32" s="166">
        <f t="shared" ref="D32:H33" si="0">D9</f>
        <v>2016</v>
      </c>
      <c r="E32" s="166">
        <f t="shared" si="0"/>
        <v>2017</v>
      </c>
      <c r="F32" s="166">
        <f t="shared" si="0"/>
        <v>2018</v>
      </c>
      <c r="G32" s="166">
        <f t="shared" si="0"/>
        <v>2019</v>
      </c>
      <c r="H32" s="166">
        <f t="shared" si="0"/>
        <v>2020</v>
      </c>
    </row>
    <row r="33" spans="1:8" x14ac:dyDescent="0.25">
      <c r="A33" s="47"/>
      <c r="B33" s="47" t="str">
        <f>B10</f>
        <v>Fiscal year end date</v>
      </c>
      <c r="C33" s="47" t="str">
        <f>C10</f>
        <v>Units</v>
      </c>
      <c r="D33" s="165">
        <f t="shared" si="0"/>
        <v>42643</v>
      </c>
      <c r="E33" s="165">
        <f t="shared" si="0"/>
        <v>43008</v>
      </c>
      <c r="F33" s="165">
        <f t="shared" si="0"/>
        <v>43373</v>
      </c>
      <c r="G33" s="165">
        <f t="shared" si="0"/>
        <v>43738</v>
      </c>
      <c r="H33" s="165">
        <f t="shared" si="0"/>
        <v>44103</v>
      </c>
    </row>
    <row r="34" spans="1:8" x14ac:dyDescent="0.25">
      <c r="A34" s="47"/>
      <c r="B34" s="51" t="s">
        <v>10</v>
      </c>
      <c r="C34" s="52"/>
      <c r="D34" s="164"/>
      <c r="E34" s="164"/>
      <c r="F34" s="164"/>
      <c r="G34" s="164"/>
      <c r="H34" s="164"/>
    </row>
    <row r="35" spans="1:8" x14ac:dyDescent="0.25">
      <c r="A35" s="47"/>
      <c r="B35" s="47" t="s">
        <v>189</v>
      </c>
      <c r="C35" s="47" t="s">
        <v>64</v>
      </c>
      <c r="D35" s="129">
        <f>Model!D71/Model!D$12</f>
        <v>0.15</v>
      </c>
      <c r="E35" s="129">
        <f>Model!E71/Model!E$12</f>
        <v>0.14947640676255361</v>
      </c>
      <c r="F35" s="129">
        <f>Model!F71/Model!F$12</f>
        <v>0.14943139215196199</v>
      </c>
      <c r="G35" s="129">
        <f>Model!G71/Model!G$12</f>
        <v>0.14785487288135593</v>
      </c>
      <c r="H35" s="129">
        <f>Model!H71/Model!H$12</f>
        <v>0.14857499999999998</v>
      </c>
    </row>
    <row r="36" spans="1:8" s="22" customFormat="1" x14ac:dyDescent="0.25">
      <c r="A36" s="47"/>
      <c r="B36" s="47" t="s">
        <v>206</v>
      </c>
      <c r="C36" s="47" t="s">
        <v>64</v>
      </c>
      <c r="D36" s="129">
        <f>Model!D72/Model!D$12</f>
        <v>2.2478289913159658E-2</v>
      </c>
      <c r="E36" s="129">
        <f>Model!E72/Model!E$12</f>
        <v>3.9521826898814047E-2</v>
      </c>
      <c r="F36" s="129">
        <f>Model!F72/Model!F$12</f>
        <v>2.9398900274931274E-2</v>
      </c>
      <c r="G36" s="129">
        <f>Model!G72/Model!G$12</f>
        <v>2.2060381355932222E-2</v>
      </c>
      <c r="H36" s="129">
        <f>Model!H72/Model!H$12</f>
        <v>2.142500000000001E-2</v>
      </c>
    </row>
    <row r="37" spans="1:8" x14ac:dyDescent="0.25">
      <c r="A37" s="47"/>
      <c r="B37" s="47" t="s">
        <v>62</v>
      </c>
      <c r="C37" s="47" t="s">
        <v>64</v>
      </c>
      <c r="D37" s="129">
        <f>Model!D73/Model!D$12</f>
        <v>0.2259185036740147</v>
      </c>
      <c r="E37" s="129">
        <f>Model!E73/Model!E$12</f>
        <v>0.2385818824123139</v>
      </c>
      <c r="F37" s="129">
        <f>Model!F73/Model!F$12</f>
        <v>0.20757310672331916</v>
      </c>
      <c r="G37" s="129">
        <f>Model!G73/Model!G$12</f>
        <v>0.18802966101694915</v>
      </c>
      <c r="H37" s="129">
        <f>Model!H73/Model!H$12</f>
        <v>0.20810000000000001</v>
      </c>
    </row>
    <row r="38" spans="1:8" x14ac:dyDescent="0.25">
      <c r="A38" s="47"/>
      <c r="B38" s="47" t="s">
        <v>11</v>
      </c>
      <c r="C38" s="47" t="s">
        <v>64</v>
      </c>
      <c r="D38" s="129">
        <f>Model!D74/Model!D$12</f>
        <v>0.17007348029392116</v>
      </c>
      <c r="E38" s="129">
        <f>Model!E74/Model!E$12</f>
        <v>0.16654049962149886</v>
      </c>
      <c r="F38" s="129">
        <f>Model!F74/Model!F$12</f>
        <v>0.15996000999750062</v>
      </c>
      <c r="G38" s="129">
        <f>Model!G74/Model!G$12</f>
        <v>0.15127118644067797</v>
      </c>
      <c r="H38" s="129">
        <f>Model!H74/Model!H$12</f>
        <v>0.1482</v>
      </c>
    </row>
    <row r="39" spans="1:8" x14ac:dyDescent="0.25">
      <c r="A39" s="47"/>
      <c r="B39" s="47" t="s">
        <v>12</v>
      </c>
      <c r="C39" s="47" t="s">
        <v>64</v>
      </c>
      <c r="D39" s="129">
        <f>Model!D75/Model!D$12</f>
        <v>0.15898463593854376</v>
      </c>
      <c r="E39" s="129">
        <f>Model!E75/Model!E$12</f>
        <v>0.14837244511733533</v>
      </c>
      <c r="F39" s="129">
        <f>Model!F75/Model!F$12</f>
        <v>0.1488377905523619</v>
      </c>
      <c r="G39" s="129">
        <f>Model!G75/Model!G$12</f>
        <v>0.20074152542372881</v>
      </c>
      <c r="H39" s="129">
        <f>Model!H75/Model!H$12</f>
        <v>0.1837</v>
      </c>
    </row>
    <row r="40" spans="1:8" x14ac:dyDescent="0.25">
      <c r="A40" s="47"/>
      <c r="B40" s="50" t="s">
        <v>83</v>
      </c>
      <c r="C40" s="47" t="s">
        <v>64</v>
      </c>
      <c r="D40" s="161">
        <f>Model!D76/Model!D$12</f>
        <v>0.72745490981963923</v>
      </c>
      <c r="E40" s="161">
        <f>Model!E76/Model!E$12</f>
        <v>0.74249306081251576</v>
      </c>
      <c r="F40" s="161">
        <f>Model!F76/Model!F$12</f>
        <v>0.69520119970007488</v>
      </c>
      <c r="G40" s="161">
        <f>Model!G76/Model!G$12</f>
        <v>0.70995762711864407</v>
      </c>
      <c r="H40" s="161">
        <f>Model!H76/Model!H$12</f>
        <v>0.71</v>
      </c>
    </row>
    <row r="41" spans="1:8" x14ac:dyDescent="0.25">
      <c r="A41" s="47"/>
      <c r="B41" s="47" t="s">
        <v>13</v>
      </c>
      <c r="C41" s="47" t="s">
        <v>64</v>
      </c>
      <c r="D41" s="129">
        <f>Model!D77/Model!D$12</f>
        <v>1.5265197060788243</v>
      </c>
      <c r="E41" s="129">
        <f>Model!E77/Model!E$12</f>
        <v>1.5147615442846327</v>
      </c>
      <c r="F41" s="129">
        <f>Model!F77/Model!F$12</f>
        <v>1.5474881279680079</v>
      </c>
      <c r="G41" s="129">
        <f>Model!G77/Model!G$12</f>
        <v>1.4371822033898305</v>
      </c>
      <c r="H41" s="129">
        <f>Model!H77/Model!H$12</f>
        <v>1.5178</v>
      </c>
    </row>
    <row r="42" spans="1:8" x14ac:dyDescent="0.25">
      <c r="A42" s="47"/>
      <c r="B42" s="47" t="s">
        <v>14</v>
      </c>
      <c r="C42" s="47" t="s">
        <v>64</v>
      </c>
      <c r="D42" s="129">
        <f>Model!D78/Model!D$12</f>
        <v>0.38530394121576483</v>
      </c>
      <c r="E42" s="129">
        <f>Model!E78/Model!E$12</f>
        <v>0.4314912944738834</v>
      </c>
      <c r="F42" s="129">
        <f>Model!F78/Model!F$12</f>
        <v>0.49525118720319916</v>
      </c>
      <c r="G42" s="129">
        <f>Model!G78/Model!G$12</f>
        <v>0.4726694915254237</v>
      </c>
      <c r="H42" s="129">
        <f>Model!H78/Model!H$12</f>
        <v>0.5</v>
      </c>
    </row>
    <row r="43" spans="1:8" x14ac:dyDescent="0.25">
      <c r="A43" s="47"/>
      <c r="B43" s="47" t="s">
        <v>84</v>
      </c>
      <c r="C43" s="47" t="s">
        <v>64</v>
      </c>
      <c r="D43" s="129">
        <f>Model!D79/Model!D$12</f>
        <v>1.1412157648630594</v>
      </c>
      <c r="E43" s="129">
        <f>Model!E79/Model!E$12</f>
        <v>1.0832702498107494</v>
      </c>
      <c r="F43" s="129">
        <f>Model!F79/Model!F$12</f>
        <v>1.0522369407648087</v>
      </c>
      <c r="G43" s="129">
        <f>Model!G79/Model!G$12</f>
        <v>0.96451271186440679</v>
      </c>
      <c r="H43" s="129">
        <f>Model!H79/Model!H$12</f>
        <v>1.0178</v>
      </c>
    </row>
    <row r="44" spans="1:8" x14ac:dyDescent="0.25">
      <c r="A44" s="47"/>
      <c r="B44" s="47" t="s">
        <v>160</v>
      </c>
      <c r="C44" s="47" t="s">
        <v>64</v>
      </c>
      <c r="D44" s="129">
        <f>Model!D80/Model!D$12</f>
        <v>0.31756847027388108</v>
      </c>
      <c r="E44" s="129">
        <f>Model!E80/Model!E$12</f>
        <v>0.35326772646984606</v>
      </c>
      <c r="F44" s="129">
        <f>Model!F80/Model!F$12</f>
        <v>0.42851787053236684</v>
      </c>
      <c r="G44" s="129">
        <f>Model!G80/Model!G$12</f>
        <v>0.46175847457627117</v>
      </c>
      <c r="H44" s="129">
        <f>Model!H80/Model!H$12</f>
        <v>0.40899999999999997</v>
      </c>
    </row>
    <row r="45" spans="1:8" x14ac:dyDescent="0.25">
      <c r="A45" s="47"/>
      <c r="B45" s="50" t="s">
        <v>85</v>
      </c>
      <c r="C45" s="47" t="s">
        <v>64</v>
      </c>
      <c r="D45" s="161">
        <f>Model!D81/Model!D$12</f>
        <v>2.1862391449565797</v>
      </c>
      <c r="E45" s="161">
        <f>Model!E81/Model!E$12</f>
        <v>2.179031037093111</v>
      </c>
      <c r="F45" s="161">
        <f>Model!F81/Model!F$12</f>
        <v>2.1759560109972504</v>
      </c>
      <c r="G45" s="161">
        <f>Model!G81/Model!G$12</f>
        <v>2.1362288135593221</v>
      </c>
      <c r="H45" s="161">
        <f>Model!H81/Model!H$12</f>
        <v>2.1368</v>
      </c>
    </row>
    <row r="46" spans="1:8" x14ac:dyDescent="0.25">
      <c r="A46" s="47"/>
      <c r="B46" s="47"/>
      <c r="C46" s="47"/>
      <c r="D46" s="129"/>
      <c r="E46" s="129"/>
      <c r="F46" s="129"/>
      <c r="G46" s="129"/>
      <c r="H46" s="129"/>
    </row>
    <row r="47" spans="1:8" x14ac:dyDescent="0.25">
      <c r="A47" s="47"/>
      <c r="B47" s="50" t="s">
        <v>51</v>
      </c>
      <c r="C47" s="47"/>
      <c r="D47" s="129"/>
      <c r="E47" s="129"/>
      <c r="F47" s="129"/>
      <c r="G47" s="129"/>
      <c r="H47" s="129"/>
    </row>
    <row r="48" spans="1:8" x14ac:dyDescent="0.25">
      <c r="A48" s="47"/>
      <c r="B48" s="47" t="s">
        <v>15</v>
      </c>
      <c r="C48" s="47" t="s">
        <v>64</v>
      </c>
      <c r="D48" s="129">
        <f>Model!D84/Model!D$12</f>
        <v>0.20427521710086841</v>
      </c>
      <c r="E48" s="129">
        <f>Model!E84/Model!E$12</f>
        <v>0.21889982336613675</v>
      </c>
      <c r="F48" s="129">
        <f>Model!F84/Model!F$12</f>
        <v>0.18032991752061986</v>
      </c>
      <c r="G48" s="129">
        <f>Model!G84/Model!G$12</f>
        <v>0.18591101694915255</v>
      </c>
      <c r="H48" s="129">
        <f>Model!H84/Model!H$12</f>
        <v>0.27910000000000001</v>
      </c>
    </row>
    <row r="49" spans="1:8" x14ac:dyDescent="0.25">
      <c r="A49" s="47"/>
      <c r="B49" s="47" t="s">
        <v>156</v>
      </c>
      <c r="C49" s="47" t="s">
        <v>64</v>
      </c>
      <c r="D49" s="129">
        <f>Model!D85/Model!D$12</f>
        <v>0.18129592518370072</v>
      </c>
      <c r="E49" s="129">
        <f>Model!E85/Model!E$12</f>
        <v>0.18773656320968957</v>
      </c>
      <c r="F49" s="129">
        <f>Model!F85/Model!F$12</f>
        <v>0.20444888777805514</v>
      </c>
      <c r="G49" s="129">
        <f>Model!G85/Model!G$12</f>
        <v>0.44364406779660975</v>
      </c>
      <c r="H49" s="129">
        <f>Model!H85/Model!H$12</f>
        <v>0.34650000000000003</v>
      </c>
    </row>
    <row r="50" spans="1:8" x14ac:dyDescent="0.25">
      <c r="A50" s="47"/>
      <c r="B50" s="47" t="s">
        <v>173</v>
      </c>
      <c r="C50" s="47" t="s">
        <v>64</v>
      </c>
      <c r="D50" s="129">
        <f>Model!D86/Model!D$12</f>
        <v>1.1623246492985972E-2</v>
      </c>
      <c r="E50" s="129">
        <f>Model!E86/Model!E$12</f>
        <v>3.8859449911683067E-2</v>
      </c>
      <c r="F50" s="129">
        <f>Model!F86/Model!F$12</f>
        <v>5.9235191202199451E-2</v>
      </c>
      <c r="G50" s="129">
        <f>Model!G86/Model!G$12</f>
        <v>7.3093220338983052E-3</v>
      </c>
      <c r="H50" s="129">
        <f>Model!H86/Model!H$12</f>
        <v>7.0000000000000001E-3</v>
      </c>
    </row>
    <row r="51" spans="1:8" x14ac:dyDescent="0.25">
      <c r="A51" s="47"/>
      <c r="B51" s="50" t="s">
        <v>86</v>
      </c>
      <c r="C51" s="47" t="s">
        <v>64</v>
      </c>
      <c r="D51" s="161">
        <f>Model!D87/Model!D$12</f>
        <v>0.39719438877755514</v>
      </c>
      <c r="E51" s="161">
        <f>Model!E87/Model!E$12</f>
        <v>0.4454958364875094</v>
      </c>
      <c r="F51" s="161">
        <f>Model!F87/Model!F$12</f>
        <v>0.44401399650087442</v>
      </c>
      <c r="G51" s="161">
        <f>Model!G87/Model!G$12</f>
        <v>0.63686440677966061</v>
      </c>
      <c r="H51" s="161">
        <f>Model!H87/Model!H$12</f>
        <v>0.63260000000000016</v>
      </c>
    </row>
    <row r="52" spans="1:8" x14ac:dyDescent="0.25">
      <c r="A52" s="47"/>
      <c r="B52" s="47" t="s">
        <v>16</v>
      </c>
      <c r="C52" s="47" t="s">
        <v>64</v>
      </c>
      <c r="D52" s="129">
        <f>Model!D88/Model!D$12</f>
        <v>4.1950567802271209E-2</v>
      </c>
      <c r="E52" s="129">
        <f>Model!E88/Model!E$12</f>
        <v>3.368660105980318E-2</v>
      </c>
      <c r="F52" s="129">
        <f>Model!F88/Model!F$12</f>
        <v>2.7243189202699324E-2</v>
      </c>
      <c r="G52" s="129">
        <f>Model!G88/Model!G$12</f>
        <v>3.7711864406779663E-2</v>
      </c>
      <c r="H52" s="129">
        <f>Model!H88/Model!H$12</f>
        <v>7.3300000000000004E-2</v>
      </c>
    </row>
    <row r="53" spans="1:8" x14ac:dyDescent="0.25">
      <c r="A53" s="47"/>
      <c r="B53" s="47" t="s">
        <v>17</v>
      </c>
      <c r="C53" s="47" t="s">
        <v>64</v>
      </c>
      <c r="D53" s="129">
        <f>Model!D89/Model!D$12</f>
        <v>5.6913827655310625E-2</v>
      </c>
      <c r="E53" s="129">
        <f>Model!E89/Model!E$12</f>
        <v>4.2013626040878119E-2</v>
      </c>
      <c r="F53" s="129">
        <f>Model!F89/Model!F$12</f>
        <v>2.686828292926768E-2</v>
      </c>
      <c r="G53" s="129">
        <f>Model!G89/Model!G$12</f>
        <v>0</v>
      </c>
      <c r="H53" s="129">
        <f>Model!H89/Model!H$12</f>
        <v>0</v>
      </c>
    </row>
    <row r="54" spans="1:8" x14ac:dyDescent="0.25">
      <c r="A54" s="47"/>
      <c r="B54" s="50" t="s">
        <v>87</v>
      </c>
      <c r="C54" s="47" t="s">
        <v>64</v>
      </c>
      <c r="D54" s="161">
        <f>Model!D90/Model!D$12</f>
        <v>0.49605878423513694</v>
      </c>
      <c r="E54" s="161">
        <f>Model!E90/Model!E$12</f>
        <v>0.52119606358819071</v>
      </c>
      <c r="F54" s="161">
        <f>Model!F90/Model!F$12</f>
        <v>0.49812546863284146</v>
      </c>
      <c r="G54" s="161">
        <f>Model!G90/Model!G$12</f>
        <v>0.67457627118644026</v>
      </c>
      <c r="H54" s="161">
        <f>Model!H90/Model!H$12</f>
        <v>0.70590000000000008</v>
      </c>
    </row>
    <row r="55" spans="1:8" x14ac:dyDescent="0.25">
      <c r="A55" s="47"/>
      <c r="B55" s="47" t="s">
        <v>90</v>
      </c>
      <c r="C55" s="47" t="s">
        <v>64</v>
      </c>
      <c r="D55" s="129">
        <f>Model!D91/Model!D$12</f>
        <v>0.13360053440213762</v>
      </c>
      <c r="E55" s="129">
        <f>Model!E91/Model!E$12</f>
        <v>0.12616704516780217</v>
      </c>
      <c r="F55" s="129">
        <f>Model!F91/Model!F$12</f>
        <v>0.12496875781054735</v>
      </c>
      <c r="G55" s="129">
        <f>Model!G91/Model!G$12</f>
        <v>0.1059322033898305</v>
      </c>
      <c r="H55" s="129">
        <f>Model!H91/Model!H$12</f>
        <v>0.1</v>
      </c>
    </row>
    <row r="56" spans="1:8" x14ac:dyDescent="0.25">
      <c r="A56" s="47"/>
      <c r="B56" s="47" t="s">
        <v>8</v>
      </c>
      <c r="C56" s="47" t="s">
        <v>64</v>
      </c>
      <c r="D56" s="129">
        <f>Model!D92/Model!D$12</f>
        <v>1.5565798263193051</v>
      </c>
      <c r="E56" s="129">
        <f>Model!E92/Model!E$12</f>
        <v>1.5316679283371184</v>
      </c>
      <c r="F56" s="129">
        <f>Model!F92/Model!F$12</f>
        <v>1.5528617845538617</v>
      </c>
      <c r="G56" s="129">
        <f>Model!G92/Model!G$12</f>
        <v>1.355720338983051</v>
      </c>
      <c r="H56" s="129">
        <f>Model!H92/Model!H$12</f>
        <v>1.3309000000000002</v>
      </c>
    </row>
    <row r="57" spans="1:8" x14ac:dyDescent="0.25">
      <c r="A57" s="47"/>
      <c r="B57" s="50" t="s">
        <v>88</v>
      </c>
      <c r="C57" s="47" t="s">
        <v>64</v>
      </c>
      <c r="D57" s="129">
        <f>Model!D93/Model!D$12</f>
        <v>1.6901803607214427</v>
      </c>
      <c r="E57" s="129">
        <f>Model!E93/Model!E$12</f>
        <v>1.6578349735049205</v>
      </c>
      <c r="F57" s="129">
        <f>Model!F93/Model!F$12</f>
        <v>1.6778305423644089</v>
      </c>
      <c r="G57" s="129">
        <f>Model!G93/Model!G$12</f>
        <v>1.4616525423728814</v>
      </c>
      <c r="H57" s="129">
        <f>Model!H93/Model!H$12</f>
        <v>1.4309000000000001</v>
      </c>
    </row>
    <row r="58" spans="1:8" x14ac:dyDescent="0.25">
      <c r="A58" s="47"/>
      <c r="B58" s="50" t="s">
        <v>89</v>
      </c>
      <c r="C58" s="47" t="s">
        <v>64</v>
      </c>
      <c r="D58" s="161">
        <f>Model!D94/Model!D$12</f>
        <v>2.1862391449565797</v>
      </c>
      <c r="E58" s="161">
        <f>Model!E94/Model!E$12</f>
        <v>2.179031037093111</v>
      </c>
      <c r="F58" s="161">
        <f>Model!F94/Model!F$12</f>
        <v>2.1759560109972504</v>
      </c>
      <c r="G58" s="161">
        <f>Model!G94/Model!G$12</f>
        <v>2.1362288135593221</v>
      </c>
      <c r="H58" s="161">
        <f>Model!H94/Model!H$12</f>
        <v>2.1368</v>
      </c>
    </row>
    <row r="59" spans="1:8" x14ac:dyDescent="0.25">
      <c r="B59" s="2"/>
      <c r="D59" s="2"/>
      <c r="E59" s="2"/>
      <c r="F59" s="2"/>
      <c r="G59" s="2"/>
      <c r="H59" s="2"/>
    </row>
    <row r="60" spans="1:8" s="2" customFormat="1" x14ac:dyDescent="0.25">
      <c r="B60" s="12"/>
      <c r="C60" s="12"/>
      <c r="D60" s="12"/>
      <c r="E60" s="12"/>
      <c r="F60" s="12"/>
      <c r="G60" s="12"/>
      <c r="H60" s="12"/>
    </row>
    <row r="62" spans="1:8" x14ac:dyDescent="0.25">
      <c r="A62" s="2"/>
    </row>
    <row r="63" spans="1:8" x14ac:dyDescent="0.25">
      <c r="D63" s="14"/>
      <c r="E63" s="14"/>
      <c r="F63" s="14"/>
      <c r="G63" s="14"/>
      <c r="H63" s="14"/>
    </row>
  </sheetData>
  <pageMargins left="0.75" right="0.75" top="1" bottom="1" header="0.5" footer="0.5"/>
  <pageSetup orientation="portrait" horizontalDpi="4294967292" verticalDpi="4294967292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4"/>
  <dimension ref="A1:P65"/>
  <sheetViews>
    <sheetView topLeftCell="A25" workbookViewId="0">
      <selection activeCell="Q15" sqref="Q15"/>
    </sheetView>
  </sheetViews>
  <sheetFormatPr defaultColWidth="11" defaultRowHeight="15.75" x14ac:dyDescent="0.25"/>
  <cols>
    <col min="1" max="1" width="2.625" customWidth="1"/>
    <col min="2" max="2" width="31.25" customWidth="1"/>
    <col min="3" max="3" width="9.875" customWidth="1"/>
    <col min="9" max="13" width="11" style="22"/>
  </cols>
  <sheetData>
    <row r="1" spans="1:16" ht="22.5" x14ac:dyDescent="0.3">
      <c r="A1" s="122" t="str">
        <f>Model!A1</f>
        <v>Inglis' Steel Mills</v>
      </c>
      <c r="B1" s="47"/>
      <c r="C1" s="123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</row>
    <row r="2" spans="1:16" x14ac:dyDescent="0.25">
      <c r="A2" s="47"/>
      <c r="B2" s="50"/>
      <c r="C2" s="50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</row>
    <row r="3" spans="1:16" x14ac:dyDescent="0.25">
      <c r="A3" s="47"/>
      <c r="B3" s="55" t="str">
        <f>Model!B3</f>
        <v>Company Name</v>
      </c>
      <c r="C3" s="252" t="str">
        <f>Assumptions!C3</f>
        <v>Inglis' Steel Mills</v>
      </c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</row>
    <row r="4" spans="1:16" x14ac:dyDescent="0.25">
      <c r="A4" s="47"/>
      <c r="B4" s="55" t="str">
        <f>Model!B4</f>
        <v xml:space="preserve">Ticker </v>
      </c>
      <c r="C4" s="252" t="str">
        <f>Assumptions!C4</f>
        <v>ISM</v>
      </c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7"/>
    </row>
    <row r="5" spans="1:16" x14ac:dyDescent="0.25">
      <c r="A5" s="47"/>
      <c r="B5" s="55" t="str">
        <f>Model!B5</f>
        <v>Latest Fiscal year end date</v>
      </c>
      <c r="C5" s="253">
        <f>Assumptions!C5</f>
        <v>44103</v>
      </c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</row>
    <row r="6" spans="1:16" x14ac:dyDescent="0.25">
      <c r="A6" s="47"/>
      <c r="B6" s="55"/>
      <c r="C6" s="124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</row>
    <row r="7" spans="1:16" x14ac:dyDescent="0.25">
      <c r="A7" s="50" t="s">
        <v>38</v>
      </c>
      <c r="B7" s="47"/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</row>
    <row r="8" spans="1:16" x14ac:dyDescent="0.25">
      <c r="A8" s="52"/>
      <c r="B8" s="52" t="str">
        <f>Model!B9</f>
        <v>Fiscal year</v>
      </c>
      <c r="C8" s="52"/>
      <c r="D8" s="75">
        <f>Model!D9</f>
        <v>2016</v>
      </c>
      <c r="E8" s="75">
        <f>Model!E9</f>
        <v>2017</v>
      </c>
      <c r="F8" s="75">
        <f>Model!F9</f>
        <v>2018</v>
      </c>
      <c r="G8" s="75">
        <f>Model!G9</f>
        <v>2019</v>
      </c>
      <c r="H8" s="75">
        <f>Model!H9</f>
        <v>2020</v>
      </c>
      <c r="I8" s="106">
        <f>Model!I9</f>
        <v>2021</v>
      </c>
      <c r="J8" s="106">
        <f>Model!J9</f>
        <v>2022</v>
      </c>
      <c r="K8" s="106">
        <f>Model!K9</f>
        <v>2023</v>
      </c>
      <c r="L8" s="106">
        <f>Model!L9</f>
        <v>2024</v>
      </c>
      <c r="M8" s="106">
        <f>Model!M9</f>
        <v>2025</v>
      </c>
      <c r="N8" s="141" t="s">
        <v>201</v>
      </c>
      <c r="O8" s="256" t="s">
        <v>202</v>
      </c>
    </row>
    <row r="9" spans="1:16" x14ac:dyDescent="0.25">
      <c r="A9" s="56"/>
      <c r="B9" s="47" t="str">
        <f>Model!B10</f>
        <v>Fiscal year end date</v>
      </c>
      <c r="C9" s="47" t="str">
        <f>Model!C10</f>
        <v>Units</v>
      </c>
      <c r="D9" s="33">
        <f>Model!D10</f>
        <v>42643</v>
      </c>
      <c r="E9" s="33">
        <f>Model!E10</f>
        <v>43008</v>
      </c>
      <c r="F9" s="33">
        <f>Model!F10</f>
        <v>43373</v>
      </c>
      <c r="G9" s="33">
        <f>Model!G10</f>
        <v>43738</v>
      </c>
      <c r="H9" s="33">
        <f>Model!H10</f>
        <v>44103</v>
      </c>
      <c r="I9" s="90">
        <f>Model!I10</f>
        <v>44469</v>
      </c>
      <c r="J9" s="90">
        <f>Model!J10</f>
        <v>44834</v>
      </c>
      <c r="K9" s="90">
        <f>Model!K10</f>
        <v>45199</v>
      </c>
      <c r="L9" s="90">
        <f>Model!L10</f>
        <v>45565</v>
      </c>
      <c r="M9" s="90">
        <f>Model!M10</f>
        <v>45930</v>
      </c>
      <c r="N9" s="141" t="s">
        <v>37</v>
      </c>
      <c r="O9" s="256" t="s">
        <v>37</v>
      </c>
      <c r="P9" s="2"/>
    </row>
    <row r="10" spans="1:16" x14ac:dyDescent="0.25">
      <c r="A10" s="50" t="s">
        <v>19</v>
      </c>
      <c r="B10" s="125"/>
      <c r="C10" s="61"/>
      <c r="D10" s="34"/>
      <c r="E10" s="34"/>
      <c r="F10" s="34"/>
      <c r="G10" s="34"/>
      <c r="H10" s="34"/>
      <c r="I10" s="134"/>
      <c r="J10" s="134"/>
      <c r="K10" s="134"/>
      <c r="L10" s="134"/>
      <c r="M10" s="134"/>
      <c r="N10" s="141" t="s">
        <v>432</v>
      </c>
      <c r="O10" s="151" t="s">
        <v>433</v>
      </c>
    </row>
    <row r="11" spans="1:16" x14ac:dyDescent="0.25">
      <c r="A11" s="47"/>
      <c r="B11" s="47" t="str">
        <f>'Industry Ratios'!B7</f>
        <v>Current Ratio</v>
      </c>
      <c r="C11" s="47" t="s">
        <v>103</v>
      </c>
      <c r="D11" s="128">
        <f>Model!D76/Model!D87</f>
        <v>1.8314833501513621</v>
      </c>
      <c r="E11" s="128">
        <f>Model!E76/Model!E87</f>
        <v>1.6666666666666667</v>
      </c>
      <c r="F11" s="128">
        <f>Model!F76/Model!F87</f>
        <v>1.5657191106107526</v>
      </c>
      <c r="G11" s="128">
        <f>Model!G76/Model!G87</f>
        <v>1.1147704590818373</v>
      </c>
      <c r="H11" s="128">
        <f>Model!H76/Model!H87</f>
        <v>1.1223521972810619</v>
      </c>
      <c r="I11" s="135">
        <f>Model!I76/Model!I87</f>
        <v>1.1480799232374432</v>
      </c>
      <c r="J11" s="135">
        <f>Model!J76/Model!J87</f>
        <v>1.2133360243974898</v>
      </c>
      <c r="K11" s="135">
        <f>Model!K76/Model!K87</f>
        <v>1.2846563646336304</v>
      </c>
      <c r="L11" s="135">
        <f>Model!L76/Model!L87</f>
        <v>1.3628721410908411</v>
      </c>
      <c r="M11" s="135">
        <f>Model!M76/Model!M87</f>
        <v>1.4388051183483554</v>
      </c>
      <c r="N11" s="143">
        <f>AVERAGE(D11:H11)</f>
        <v>1.4601983567583361</v>
      </c>
      <c r="O11" s="144">
        <f>'Industry Ratios'!I7</f>
        <v>2.1599999999999997</v>
      </c>
    </row>
    <row r="12" spans="1:16" x14ac:dyDescent="0.25">
      <c r="A12" s="47"/>
      <c r="B12" s="47" t="str">
        <f>'Industry Ratios'!B8</f>
        <v>Quick Ratio</v>
      </c>
      <c r="C12" s="47" t="s">
        <v>103</v>
      </c>
      <c r="D12" s="128">
        <f>(Model!D76-Model!D74)/Model!D87</f>
        <v>1.4032963336696938</v>
      </c>
      <c r="E12" s="128">
        <f>(Model!E76-Model!E74)/Model!E87</f>
        <v>1.2928348909657321</v>
      </c>
      <c r="F12" s="128">
        <f>(Model!F76-Model!F74)/Model!F87</f>
        <v>1.205460174500423</v>
      </c>
      <c r="G12" s="128">
        <f>(Model!G76-Model!G74)/Model!G87</f>
        <v>0.87724550898203668</v>
      </c>
      <c r="H12" s="128">
        <f>(Model!H76-Model!H74)/Model!H87</f>
        <v>0.88808093582042336</v>
      </c>
      <c r="I12" s="135">
        <f>(Model!I76-Model!I74)/Model!I87</f>
        <v>0.86383275168397899</v>
      </c>
      <c r="J12" s="135">
        <f>(Model!J76-Model!J74)/Model!J87</f>
        <v>0.91293243219253961</v>
      </c>
      <c r="K12" s="135">
        <f>(Model!K76-Model!K74)/Model!K87</f>
        <v>0.96659493818209952</v>
      </c>
      <c r="L12" s="135">
        <f>(Model!L76-Model!L74)/Model!L87</f>
        <v>1.0254456749945728</v>
      </c>
      <c r="M12" s="135">
        <f>(Model!M76-Model!M74)/Model!M87</f>
        <v>1.088185981387755</v>
      </c>
      <c r="N12" s="143">
        <f t="shared" ref="N12:N49" si="0">AVERAGE(D12:H12)</f>
        <v>1.1333835687876619</v>
      </c>
      <c r="O12" s="144">
        <f>'Industry Ratios'!I8</f>
        <v>1.24</v>
      </c>
    </row>
    <row r="13" spans="1:16" x14ac:dyDescent="0.25">
      <c r="A13" s="47"/>
      <c r="B13" s="47"/>
      <c r="C13" s="47"/>
      <c r="D13" s="128"/>
      <c r="E13" s="128"/>
      <c r="F13" s="128"/>
      <c r="G13" s="128"/>
      <c r="H13" s="128"/>
      <c r="I13" s="135"/>
      <c r="J13" s="135"/>
      <c r="K13" s="135"/>
      <c r="L13" s="135"/>
      <c r="M13" s="135"/>
      <c r="N13" s="143"/>
      <c r="O13" s="145"/>
    </row>
    <row r="14" spans="1:16" x14ac:dyDescent="0.25">
      <c r="A14" s="50" t="str">
        <f>'Industry Ratios'!A10</f>
        <v>Efficiency</v>
      </c>
      <c r="B14" s="47"/>
      <c r="C14" s="47"/>
      <c r="D14" s="128"/>
      <c r="E14" s="128"/>
      <c r="F14" s="128"/>
      <c r="G14" s="128"/>
      <c r="H14" s="128"/>
      <c r="I14" s="135"/>
      <c r="J14" s="135"/>
      <c r="K14" s="135"/>
      <c r="L14" s="135"/>
      <c r="M14" s="135"/>
      <c r="N14" s="143"/>
      <c r="O14" s="145"/>
    </row>
    <row r="15" spans="1:16" x14ac:dyDescent="0.25">
      <c r="A15" s="50"/>
      <c r="B15" s="47" t="s">
        <v>109</v>
      </c>
      <c r="C15" s="47" t="s">
        <v>92</v>
      </c>
      <c r="D15" s="129">
        <f>Model!D73/Model!D12</f>
        <v>0.2259185036740147</v>
      </c>
      <c r="E15" s="129">
        <f>Model!E73/Model!E12</f>
        <v>0.2385818824123139</v>
      </c>
      <c r="F15" s="129">
        <f>Model!F73/Model!F12</f>
        <v>0.20757310672331916</v>
      </c>
      <c r="G15" s="129">
        <f>Model!G73/Model!G12</f>
        <v>0.18802966101694915</v>
      </c>
      <c r="H15" s="129">
        <f>Model!H73/Model!H12</f>
        <v>0.20810000000000001</v>
      </c>
      <c r="I15" s="136">
        <f>Model!I73/Model!I12</f>
        <v>0.16438356164383561</v>
      </c>
      <c r="J15" s="136">
        <f>Model!J73/Model!J12</f>
        <v>0.16438356164383561</v>
      </c>
      <c r="K15" s="136">
        <f>Model!K73/Model!K12</f>
        <v>0.16438356164383561</v>
      </c>
      <c r="L15" s="136">
        <f>Model!L73/Model!L12</f>
        <v>0.16438356164383561</v>
      </c>
      <c r="M15" s="136">
        <f>Model!M73/Model!M12</f>
        <v>0.16438356164383561</v>
      </c>
      <c r="N15" s="146">
        <f t="shared" si="0"/>
        <v>0.21364063076531942</v>
      </c>
      <c r="O15" s="147">
        <f>O16/365</f>
        <v>0.147013698630137</v>
      </c>
    </row>
    <row r="16" spans="1:16" x14ac:dyDescent="0.25">
      <c r="A16" s="47"/>
      <c r="B16" s="47" t="s">
        <v>99</v>
      </c>
      <c r="C16" s="47" t="s">
        <v>101</v>
      </c>
      <c r="D16" s="25">
        <f t="shared" ref="D16:M16" si="1">D15*365</f>
        <v>82.460253841015358</v>
      </c>
      <c r="E16" s="25">
        <f t="shared" si="1"/>
        <v>87.08238708049457</v>
      </c>
      <c r="F16" s="25">
        <f t="shared" si="1"/>
        <v>75.7641839540115</v>
      </c>
      <c r="G16" s="25">
        <f t="shared" si="1"/>
        <v>68.630826271186436</v>
      </c>
      <c r="H16" s="25">
        <f t="shared" si="1"/>
        <v>75.956500000000005</v>
      </c>
      <c r="I16" s="92">
        <f t="shared" si="1"/>
        <v>60</v>
      </c>
      <c r="J16" s="92">
        <f t="shared" si="1"/>
        <v>60</v>
      </c>
      <c r="K16" s="92">
        <f t="shared" si="1"/>
        <v>60</v>
      </c>
      <c r="L16" s="92">
        <f t="shared" si="1"/>
        <v>60</v>
      </c>
      <c r="M16" s="92">
        <f t="shared" si="1"/>
        <v>60</v>
      </c>
      <c r="N16" s="148">
        <f t="shared" si="0"/>
        <v>77.978830229341582</v>
      </c>
      <c r="O16" s="144">
        <f>'Industry Ratios'!I11</f>
        <v>53.660000000000004</v>
      </c>
    </row>
    <row r="17" spans="1:15" x14ac:dyDescent="0.25">
      <c r="A17" s="47"/>
      <c r="B17" s="47"/>
      <c r="C17" s="47"/>
      <c r="D17" s="128"/>
      <c r="E17" s="128"/>
      <c r="F17" s="128"/>
      <c r="G17" s="128"/>
      <c r="H17" s="128"/>
      <c r="I17" s="135"/>
      <c r="J17" s="135"/>
      <c r="K17" s="135"/>
      <c r="L17" s="135"/>
      <c r="M17" s="135"/>
      <c r="N17" s="143"/>
      <c r="O17" s="145"/>
    </row>
    <row r="18" spans="1:15" x14ac:dyDescent="0.25">
      <c r="A18" s="47"/>
      <c r="B18" s="47" t="s">
        <v>110</v>
      </c>
      <c r="C18" s="47" t="s">
        <v>92</v>
      </c>
      <c r="D18" s="129">
        <f>Model!D74/Model!D13</f>
        <v>0.27079344820251011</v>
      </c>
      <c r="E18" s="129">
        <f>Model!E74/Model!E13</f>
        <v>0.26575397624320518</v>
      </c>
      <c r="F18" s="129">
        <f>Model!F74/Model!F13</f>
        <v>0.25356576862123614</v>
      </c>
      <c r="G18" s="129">
        <f>Model!G74/Model!G13</f>
        <v>0.25198517734250925</v>
      </c>
      <c r="H18" s="129">
        <f>Model!H74/Model!H13</f>
        <v>0.24387033075530687</v>
      </c>
      <c r="I18" s="136">
        <f>Model!I74/Model!I13</f>
        <v>0.24390243902439027</v>
      </c>
      <c r="J18" s="136">
        <f>Model!J74/Model!J13</f>
        <v>0.24390243902439027</v>
      </c>
      <c r="K18" s="136">
        <f>Model!K74/Model!K13</f>
        <v>0.24390243902439027</v>
      </c>
      <c r="L18" s="136">
        <f>Model!L74/Model!L13</f>
        <v>0.24390243902439027</v>
      </c>
      <c r="M18" s="136">
        <f>Model!M74/Model!M13</f>
        <v>0.24390243902439029</v>
      </c>
      <c r="N18" s="146">
        <f>AVERAGE(D18:H18)</f>
        <v>0.25719374023295349</v>
      </c>
      <c r="O18" s="147">
        <f>O20/365</f>
        <v>0.22416438356164387</v>
      </c>
    </row>
    <row r="19" spans="1:15" x14ac:dyDescent="0.25">
      <c r="A19" s="47"/>
      <c r="B19" s="47" t="s">
        <v>102</v>
      </c>
      <c r="C19" s="47" t="s">
        <v>103</v>
      </c>
      <c r="D19" s="25">
        <f t="shared" ref="D19:M19" si="2">1/D18</f>
        <v>3.6928515318146111</v>
      </c>
      <c r="E19" s="25">
        <f t="shared" si="2"/>
        <v>3.7628787878787877</v>
      </c>
      <c r="F19" s="25">
        <f t="shared" si="2"/>
        <v>3.9437499999999996</v>
      </c>
      <c r="G19" s="25">
        <f t="shared" si="2"/>
        <v>3.9684873949579833</v>
      </c>
      <c r="H19" s="25">
        <f t="shared" si="2"/>
        <v>4.1005398110661275</v>
      </c>
      <c r="I19" s="92">
        <f t="shared" si="2"/>
        <v>4.0999999999999996</v>
      </c>
      <c r="J19" s="92">
        <f t="shared" si="2"/>
        <v>4.0999999999999996</v>
      </c>
      <c r="K19" s="92">
        <f t="shared" si="2"/>
        <v>4.0999999999999996</v>
      </c>
      <c r="L19" s="92">
        <f t="shared" si="2"/>
        <v>4.0999999999999996</v>
      </c>
      <c r="M19" s="92">
        <f t="shared" si="2"/>
        <v>4.0999999999999988</v>
      </c>
      <c r="N19" s="148">
        <f t="shared" si="0"/>
        <v>3.8937015051435018</v>
      </c>
      <c r="O19" s="145">
        <f>365/O20</f>
        <v>4.4610119775116104</v>
      </c>
    </row>
    <row r="20" spans="1:15" x14ac:dyDescent="0.25">
      <c r="A20" s="47"/>
      <c r="B20" s="47" t="s">
        <v>112</v>
      </c>
      <c r="C20" s="47" t="s">
        <v>101</v>
      </c>
      <c r="D20" s="25">
        <f t="shared" ref="D20:M20" si="3">D18*365</f>
        <v>98.839608593916196</v>
      </c>
      <c r="E20" s="25">
        <f t="shared" si="3"/>
        <v>97.00020132876989</v>
      </c>
      <c r="F20" s="25">
        <f t="shared" si="3"/>
        <v>92.551505546751187</v>
      </c>
      <c r="G20" s="25">
        <f t="shared" si="3"/>
        <v>91.974589730015879</v>
      </c>
      <c r="H20" s="25">
        <f t="shared" si="3"/>
        <v>89.012670725687002</v>
      </c>
      <c r="I20" s="92">
        <f t="shared" si="3"/>
        <v>89.024390243902445</v>
      </c>
      <c r="J20" s="92">
        <f t="shared" si="3"/>
        <v>89.024390243902445</v>
      </c>
      <c r="K20" s="92">
        <f t="shared" si="3"/>
        <v>89.024390243902445</v>
      </c>
      <c r="L20" s="92">
        <f t="shared" si="3"/>
        <v>89.024390243902445</v>
      </c>
      <c r="M20" s="92">
        <f t="shared" si="3"/>
        <v>89.024390243902459</v>
      </c>
      <c r="N20" s="148">
        <f t="shared" si="0"/>
        <v>93.875715185028028</v>
      </c>
      <c r="O20" s="144">
        <f>'Industry Ratios'!I12</f>
        <v>81.820000000000007</v>
      </c>
    </row>
    <row r="21" spans="1:15" x14ac:dyDescent="0.25">
      <c r="A21" s="47"/>
      <c r="B21" s="47"/>
      <c r="C21" s="47"/>
      <c r="D21" s="128"/>
      <c r="E21" s="128"/>
      <c r="F21" s="128"/>
      <c r="G21" s="128"/>
      <c r="H21" s="128"/>
      <c r="I21" s="135"/>
      <c r="J21" s="135"/>
      <c r="K21" s="135"/>
      <c r="L21" s="135"/>
      <c r="M21" s="135"/>
      <c r="N21" s="143"/>
      <c r="O21" s="145"/>
    </row>
    <row r="22" spans="1:15" x14ac:dyDescent="0.25">
      <c r="A22" s="47"/>
      <c r="B22" s="47" t="s">
        <v>111</v>
      </c>
      <c r="C22" s="47" t="s">
        <v>92</v>
      </c>
      <c r="D22" s="129">
        <f>Model!D84/Model!D13</f>
        <v>0.32524994681982555</v>
      </c>
      <c r="E22" s="129">
        <f>Model!E84/Model!E13</f>
        <v>0.34930541574390983</v>
      </c>
      <c r="F22" s="129">
        <f>Model!F84/Model!F13</f>
        <v>0.28585578446909671</v>
      </c>
      <c r="G22" s="129">
        <f>Model!G84/Model!G13</f>
        <v>0.30968766543144516</v>
      </c>
      <c r="H22" s="129">
        <f>Model!H84/Model!H13</f>
        <v>0.45927266743458944</v>
      </c>
      <c r="I22" s="136">
        <f>Model!I84/Model!I13</f>
        <v>0.16438356164383561</v>
      </c>
      <c r="J22" s="136">
        <f>Model!J84/Model!J13</f>
        <v>0.16438356164383561</v>
      </c>
      <c r="K22" s="136">
        <f>Model!K84/Model!K13</f>
        <v>0.16438356164383561</v>
      </c>
      <c r="L22" s="136">
        <f>Model!L84/Model!L13</f>
        <v>0.16438356164383561</v>
      </c>
      <c r="M22" s="136">
        <f>Model!M84/Model!M13</f>
        <v>0.16438356164383561</v>
      </c>
      <c r="N22" s="146">
        <f>AVERAGE(D22:H22)</f>
        <v>0.34587429597977332</v>
      </c>
      <c r="O22" s="147">
        <f>O23/365</f>
        <v>0.18630136986301371</v>
      </c>
    </row>
    <row r="23" spans="1:15" x14ac:dyDescent="0.25">
      <c r="A23" s="47"/>
      <c r="B23" s="47" t="s">
        <v>100</v>
      </c>
      <c r="C23" s="47" t="s">
        <v>101</v>
      </c>
      <c r="D23" s="25">
        <f t="shared" ref="D23:M23" si="4">D22*365</f>
        <v>118.71623058923633</v>
      </c>
      <c r="E23" s="25">
        <f t="shared" si="4"/>
        <v>127.49647674652709</v>
      </c>
      <c r="F23" s="25">
        <f t="shared" si="4"/>
        <v>104.33736133122029</v>
      </c>
      <c r="G23" s="25">
        <f t="shared" si="4"/>
        <v>113.03599788247749</v>
      </c>
      <c r="H23" s="25">
        <f t="shared" si="4"/>
        <v>167.63452361362513</v>
      </c>
      <c r="I23" s="92">
        <f t="shared" si="4"/>
        <v>60</v>
      </c>
      <c r="J23" s="92">
        <f t="shared" si="4"/>
        <v>60</v>
      </c>
      <c r="K23" s="92">
        <f t="shared" si="4"/>
        <v>60</v>
      </c>
      <c r="L23" s="92">
        <f t="shared" si="4"/>
        <v>60</v>
      </c>
      <c r="M23" s="92">
        <f t="shared" si="4"/>
        <v>60</v>
      </c>
      <c r="N23" s="143">
        <f t="shared" si="0"/>
        <v>126.24411803261725</v>
      </c>
      <c r="O23" s="144">
        <f>'Industry Ratios'!I13</f>
        <v>68</v>
      </c>
    </row>
    <row r="24" spans="1:15" x14ac:dyDescent="0.25">
      <c r="A24" s="47"/>
      <c r="B24" s="47"/>
      <c r="C24" s="47"/>
      <c r="D24" s="128"/>
      <c r="E24" s="128"/>
      <c r="F24" s="128"/>
      <c r="G24" s="128"/>
      <c r="H24" s="128"/>
      <c r="I24" s="135"/>
      <c r="J24" s="135"/>
      <c r="K24" s="135"/>
      <c r="L24" s="135"/>
      <c r="M24" s="135"/>
      <c r="N24" s="143"/>
      <c r="O24" s="145"/>
    </row>
    <row r="25" spans="1:15" x14ac:dyDescent="0.25">
      <c r="A25" s="47"/>
      <c r="B25" s="47" t="s">
        <v>104</v>
      </c>
      <c r="C25" s="47" t="s">
        <v>101</v>
      </c>
      <c r="D25" s="25">
        <f>D16+D20</f>
        <v>181.29986243493155</v>
      </c>
      <c r="E25" s="25">
        <f t="shared" ref="E25:M25" si="5">E16+E20</f>
        <v>184.08258840926447</v>
      </c>
      <c r="F25" s="25">
        <f t="shared" si="5"/>
        <v>168.31568950076269</v>
      </c>
      <c r="G25" s="25">
        <f t="shared" si="5"/>
        <v>160.60541600120231</v>
      </c>
      <c r="H25" s="25">
        <f t="shared" si="5"/>
        <v>164.96917072568701</v>
      </c>
      <c r="I25" s="92">
        <f t="shared" si="5"/>
        <v>149.02439024390245</v>
      </c>
      <c r="J25" s="92">
        <f t="shared" si="5"/>
        <v>149.02439024390245</v>
      </c>
      <c r="K25" s="92">
        <f t="shared" si="5"/>
        <v>149.02439024390245</v>
      </c>
      <c r="L25" s="92">
        <f t="shared" si="5"/>
        <v>149.02439024390245</v>
      </c>
      <c r="M25" s="92">
        <f t="shared" si="5"/>
        <v>149.02439024390247</v>
      </c>
      <c r="N25" s="143">
        <f t="shared" si="0"/>
        <v>171.85454541436962</v>
      </c>
      <c r="O25" s="144">
        <f>'Industry Ratios'!I14</f>
        <v>135.47999999999999</v>
      </c>
    </row>
    <row r="26" spans="1:15" x14ac:dyDescent="0.25">
      <c r="A26" s="47"/>
      <c r="B26" s="47" t="s">
        <v>105</v>
      </c>
      <c r="C26" s="47" t="s">
        <v>101</v>
      </c>
      <c r="D26" s="25">
        <f>D16+D20-D23</f>
        <v>62.583631845695223</v>
      </c>
      <c r="E26" s="25">
        <f t="shared" ref="E26:M26" si="6">E16+E20-E23</f>
        <v>56.58611166273738</v>
      </c>
      <c r="F26" s="25">
        <f t="shared" si="6"/>
        <v>63.978328169542394</v>
      </c>
      <c r="G26" s="25">
        <f t="shared" si="6"/>
        <v>47.569418118724826</v>
      </c>
      <c r="H26" s="25">
        <f t="shared" si="6"/>
        <v>-2.665352887938127</v>
      </c>
      <c r="I26" s="92">
        <f t="shared" si="6"/>
        <v>89.024390243902445</v>
      </c>
      <c r="J26" s="92">
        <f t="shared" si="6"/>
        <v>89.024390243902445</v>
      </c>
      <c r="K26" s="92">
        <f t="shared" si="6"/>
        <v>89.024390243902445</v>
      </c>
      <c r="L26" s="92">
        <f t="shared" si="6"/>
        <v>89.024390243902445</v>
      </c>
      <c r="M26" s="92">
        <f t="shared" si="6"/>
        <v>89.024390243902474</v>
      </c>
      <c r="N26" s="143">
        <f t="shared" si="0"/>
        <v>45.610427381752338</v>
      </c>
      <c r="O26" s="144">
        <f>'Industry Ratios'!I15</f>
        <v>67.47999999999999</v>
      </c>
    </row>
    <row r="27" spans="1:15" x14ac:dyDescent="0.25">
      <c r="A27" s="47"/>
      <c r="B27" s="47"/>
      <c r="C27" s="47"/>
      <c r="D27" s="128"/>
      <c r="E27" s="128"/>
      <c r="F27" s="128"/>
      <c r="G27" s="128"/>
      <c r="H27" s="128"/>
      <c r="I27" s="135"/>
      <c r="J27" s="135"/>
      <c r="K27" s="135"/>
      <c r="L27" s="135"/>
      <c r="M27" s="135"/>
      <c r="N27" s="143"/>
      <c r="O27" s="145"/>
    </row>
    <row r="28" spans="1:15" x14ac:dyDescent="0.25">
      <c r="A28" s="47"/>
      <c r="B28" s="47" t="s">
        <v>23</v>
      </c>
      <c r="C28" s="47" t="s">
        <v>103</v>
      </c>
      <c r="D28" s="128">
        <f>Model!D12/Model!D79</f>
        <v>0.87625848747365964</v>
      </c>
      <c r="E28" s="128">
        <f>Model!E12/Model!E79</f>
        <v>0.92313067784765912</v>
      </c>
      <c r="F28" s="128">
        <f>Model!F12/Model!F79</f>
        <v>0.95035629453681714</v>
      </c>
      <c r="G28" s="128">
        <f>Model!G12/Model!G79</f>
        <v>1.0367929708951125</v>
      </c>
      <c r="H28" s="128">
        <f>Model!H12/Model!H79</f>
        <v>0.98251129887993716</v>
      </c>
      <c r="I28" s="135">
        <f>Model!I12/Model!I79</f>
        <v>0.98154539077390257</v>
      </c>
      <c r="J28" s="135">
        <f>Model!J12/Model!J79</f>
        <v>0.98072464316398145</v>
      </c>
      <c r="K28" s="135">
        <f>Model!K12/Model!K79</f>
        <v>0.98003671662451275</v>
      </c>
      <c r="L28" s="135">
        <f>Model!L12/Model!L79</f>
        <v>0.97947031985643473</v>
      </c>
      <c r="M28" s="135">
        <f>Model!M12/Model!M79</f>
        <v>0.97901511093125693</v>
      </c>
      <c r="N28" s="143">
        <f t="shared" si="0"/>
        <v>0.95380994592663715</v>
      </c>
      <c r="O28" s="144">
        <f>'Industry Ratios'!I16</f>
        <v>4.28</v>
      </c>
    </row>
    <row r="29" spans="1:15" x14ac:dyDescent="0.25">
      <c r="A29" s="47"/>
      <c r="B29" s="47" t="s">
        <v>24</v>
      </c>
      <c r="C29" s="47" t="s">
        <v>103</v>
      </c>
      <c r="D29" s="128">
        <f>Model!D12/Model!D81</f>
        <v>0.45740650207773165</v>
      </c>
      <c r="E29" s="128">
        <f>Model!E12/Model!E81</f>
        <v>0.45891957616814316</v>
      </c>
      <c r="F29" s="128">
        <f>Model!F12/Model!F81</f>
        <v>0.45956811394440622</v>
      </c>
      <c r="G29" s="128">
        <f>Model!G12/Model!G81</f>
        <v>0.46811464841812955</v>
      </c>
      <c r="H29" s="128">
        <f>Model!H12/Model!H81</f>
        <v>0.46798951703481839</v>
      </c>
      <c r="I29" s="135">
        <f>Model!I12/Model!I81</f>
        <v>0.48325924546403282</v>
      </c>
      <c r="J29" s="135">
        <f>Model!J12/Model!J81</f>
        <v>0.48306020856970533</v>
      </c>
      <c r="K29" s="135">
        <f>Model!K12/Model!K81</f>
        <v>0.48289325141680267</v>
      </c>
      <c r="L29" s="135">
        <f>Model!L12/Model!L81</f>
        <v>0.48275569980439642</v>
      </c>
      <c r="M29" s="135">
        <f>Model!M12/Model!M81</f>
        <v>0.4803077159490407</v>
      </c>
      <c r="N29" s="143">
        <f t="shared" si="0"/>
        <v>0.46239967152864586</v>
      </c>
      <c r="O29" s="144">
        <f>'Industry Ratios'!I17</f>
        <v>1.1800000000000002</v>
      </c>
    </row>
    <row r="30" spans="1:15" x14ac:dyDescent="0.25">
      <c r="A30" s="47"/>
      <c r="B30" s="47"/>
      <c r="C30" s="47"/>
      <c r="D30" s="128"/>
      <c r="E30" s="128"/>
      <c r="F30" s="128"/>
      <c r="G30" s="128"/>
      <c r="H30" s="128"/>
      <c r="I30" s="135"/>
      <c r="J30" s="135"/>
      <c r="K30" s="135"/>
      <c r="L30" s="135"/>
      <c r="M30" s="135"/>
      <c r="N30" s="143"/>
      <c r="O30" s="145"/>
    </row>
    <row r="31" spans="1:15" ht="17.25" x14ac:dyDescent="0.3">
      <c r="A31" s="50" t="str">
        <f>'Industry Ratios'!A19</f>
        <v xml:space="preserve">Profitability </v>
      </c>
      <c r="B31" s="54"/>
      <c r="C31" s="126"/>
      <c r="D31" s="128"/>
      <c r="E31" s="128"/>
      <c r="F31" s="128"/>
      <c r="G31" s="128"/>
      <c r="H31" s="128"/>
      <c r="I31" s="135"/>
      <c r="J31" s="135"/>
      <c r="K31" s="135"/>
      <c r="L31" s="135"/>
      <c r="M31" s="135"/>
      <c r="N31" s="143"/>
      <c r="O31" s="145"/>
    </row>
    <row r="32" spans="1:15" ht="17.25" x14ac:dyDescent="0.3">
      <c r="A32" s="127"/>
      <c r="B32" s="54" t="s">
        <v>116</v>
      </c>
      <c r="C32" s="47" t="s">
        <v>117</v>
      </c>
      <c r="D32" s="130">
        <f>Model!D25/Model!D211</f>
        <v>5.2499999999999973</v>
      </c>
      <c r="E32" s="130">
        <f>Model!E25/Model!E211</f>
        <v>8.1500000000000057</v>
      </c>
      <c r="F32" s="130">
        <f>Model!F25/Model!F211</f>
        <v>7.1700000000000044</v>
      </c>
      <c r="G32" s="130">
        <f>Model!G25/Model!G211</f>
        <v>9.2999999999999936</v>
      </c>
      <c r="H32" s="130">
        <f>Model!H25/Model!H211</f>
        <v>12.779999999999992</v>
      </c>
      <c r="I32" s="137">
        <f>Model!I25/Model!I211</f>
        <v>11.318027999999998</v>
      </c>
      <c r="J32" s="137">
        <f>Model!J25/Model!J211</f>
        <v>14.93765952</v>
      </c>
      <c r="K32" s="137">
        <f>Model!K25/Model!K211</f>
        <v>15.310640774399999</v>
      </c>
      <c r="L32" s="137">
        <f>Model!L25/Model!L211</f>
        <v>15.694006485120003</v>
      </c>
      <c r="M32" s="137">
        <f>Model!M25/Model!M211</f>
        <v>16.088060136036482</v>
      </c>
      <c r="N32" s="143"/>
      <c r="O32" s="145"/>
    </row>
    <row r="33" spans="1:15" x14ac:dyDescent="0.25">
      <c r="A33" s="47"/>
      <c r="B33" s="47" t="s">
        <v>106</v>
      </c>
      <c r="C33" s="47" t="s">
        <v>92</v>
      </c>
      <c r="D33" s="129">
        <f>Model!D17/Model!D12</f>
        <v>0.20708082832331326</v>
      </c>
      <c r="E33" s="129">
        <f>Model!E17/Model!E12</f>
        <v>0.20918496088821603</v>
      </c>
      <c r="F33" s="129">
        <f>Model!F17/Model!F12</f>
        <v>0.20532366908272937</v>
      </c>
      <c r="G33" s="129">
        <f>Model!G17/Model!G12</f>
        <v>0.2203389830508474</v>
      </c>
      <c r="H33" s="129">
        <f>Model!H17/Model!H12</f>
        <v>0.26999999999999996</v>
      </c>
      <c r="I33" s="136">
        <f>Model!I17/Model!I12</f>
        <v>0.24000000000000002</v>
      </c>
      <c r="J33" s="136">
        <f>Model!J17/Model!J12</f>
        <v>0.24</v>
      </c>
      <c r="K33" s="136">
        <f>Model!K17/Model!K12</f>
        <v>0.24</v>
      </c>
      <c r="L33" s="136">
        <f>Model!L17/Model!L12</f>
        <v>0.24000000000000002</v>
      </c>
      <c r="M33" s="136">
        <f>Model!M17/Model!M12</f>
        <v>0.24</v>
      </c>
      <c r="N33" s="146">
        <f t="shared" si="0"/>
        <v>0.22238568826902122</v>
      </c>
      <c r="O33" s="147">
        <f>'Industry Ratios'!I20/100</f>
        <v>0.1346</v>
      </c>
    </row>
    <row r="34" spans="1:15" x14ac:dyDescent="0.25">
      <c r="A34" s="47"/>
      <c r="B34" s="47" t="s">
        <v>107</v>
      </c>
      <c r="C34" s="47" t="s">
        <v>92</v>
      </c>
      <c r="D34" s="129">
        <f>Model!D19/Model!D12</f>
        <v>0.12985971943887772</v>
      </c>
      <c r="E34" s="129">
        <f>Model!E19/Model!E12</f>
        <v>0.14155942467827409</v>
      </c>
      <c r="F34" s="129">
        <f>Model!F19/Model!F12</f>
        <v>0.13746563359160213</v>
      </c>
      <c r="G34" s="129">
        <f>Model!G19/Model!G12</f>
        <v>0.16747881355932195</v>
      </c>
      <c r="H34" s="129">
        <f>Model!H19/Model!H12</f>
        <v>0.21619999999999992</v>
      </c>
      <c r="I34" s="136">
        <f>Model!I19/Model!I12</f>
        <v>0.18536075430445478</v>
      </c>
      <c r="J34" s="136">
        <f>Model!J19/Model!J12</f>
        <v>0.23882880857462291</v>
      </c>
      <c r="K34" s="136">
        <f>Model!K19/Model!K12</f>
        <v>0.2388288965484385</v>
      </c>
      <c r="L34" s="136">
        <f>Model!L19/Model!L12</f>
        <v>0.23882898370653449</v>
      </c>
      <c r="M34" s="136">
        <f>Model!M19/Model!M12</f>
        <v>0.23882907004368184</v>
      </c>
      <c r="N34" s="146">
        <f t="shared" si="0"/>
        <v>0.15851271825361518</v>
      </c>
      <c r="O34" s="147">
        <f>'Industry Ratios'!I21/100</f>
        <v>7.6999999999999999E-2</v>
      </c>
    </row>
    <row r="35" spans="1:15" x14ac:dyDescent="0.25">
      <c r="A35" s="47"/>
      <c r="B35" s="47" t="s">
        <v>108</v>
      </c>
      <c r="C35" s="47" t="s">
        <v>92</v>
      </c>
      <c r="D35" s="129">
        <f>Model!D25/Model!D12</f>
        <v>7.0140280561122204E-2</v>
      </c>
      <c r="E35" s="129">
        <f>Model!E25/Model!E12</f>
        <v>0.10282614181175884</v>
      </c>
      <c r="F35" s="129">
        <f>Model!F25/Model!F12</f>
        <v>8.9602599350162515E-2</v>
      </c>
      <c r="G35" s="129">
        <f>Model!G25/Model!G12</f>
        <v>9.8516949152542319E-2</v>
      </c>
      <c r="H35" s="129">
        <f>Model!H25/Model!H12</f>
        <v>0.12779999999999991</v>
      </c>
      <c r="I35" s="136">
        <f>Model!I25/Model!I12</f>
        <v>0.11047151836957793</v>
      </c>
      <c r="J35" s="136">
        <f>Model!J25/Model!J12</f>
        <v>0.14230126258334597</v>
      </c>
      <c r="K35" s="136">
        <f>Model!K25/Model!K12</f>
        <v>0.14234216895671653</v>
      </c>
      <c r="L35" s="136">
        <f>Model!L25/Model!L12</f>
        <v>0.14238221069708509</v>
      </c>
      <c r="M35" s="136">
        <f>Model!M25/Model!M12</f>
        <v>0.1424214017018382</v>
      </c>
      <c r="N35" s="146">
        <f t="shared" si="0"/>
        <v>9.7777194175117155E-2</v>
      </c>
      <c r="O35" s="147">
        <f>'Industry Ratios'!I23/100</f>
        <v>2.3799999999999998E-2</v>
      </c>
    </row>
    <row r="36" spans="1:15" x14ac:dyDescent="0.25">
      <c r="A36" s="47"/>
      <c r="B36" s="47" t="s">
        <v>31</v>
      </c>
      <c r="C36" s="47" t="s">
        <v>92</v>
      </c>
      <c r="D36" s="129">
        <f>Model!D25/Model!D93</f>
        <v>4.1498695755276246E-2</v>
      </c>
      <c r="E36" s="129">
        <f>Model!E25/Model!E93</f>
        <v>6.2024353120243576E-2</v>
      </c>
      <c r="F36" s="129">
        <f>Model!F25/Model!F93</f>
        <v>5.3403843289140503E-2</v>
      </c>
      <c r="G36" s="129">
        <f>Model!G25/Model!G93</f>
        <v>6.7401072619220126E-2</v>
      </c>
      <c r="H36" s="129">
        <f>Model!H25/Model!H93</f>
        <v>8.9314417499475801E-2</v>
      </c>
      <c r="I36" s="136">
        <f>Model!I25/Model!I93</f>
        <v>7.626216682137299E-2</v>
      </c>
      <c r="J36" s="136">
        <f>Model!J25/Model!J93</f>
        <v>9.6105274920355713E-2</v>
      </c>
      <c r="K36" s="136">
        <f>Model!K25/Model!K93</f>
        <v>9.414622732445134E-2</v>
      </c>
      <c r="L36" s="136">
        <f>Model!L25/Model!L93</f>
        <v>9.2316405078689365E-2</v>
      </c>
      <c r="M36" s="136">
        <f>Model!M25/Model!M93</f>
        <v>9.0604419729599414E-2</v>
      </c>
      <c r="N36" s="146">
        <f t="shared" si="0"/>
        <v>6.2728476456671262E-2</v>
      </c>
      <c r="O36" s="147">
        <f>'Industry Ratios'!I44</f>
        <v>0.10897799999999999</v>
      </c>
    </row>
    <row r="37" spans="1:15" x14ac:dyDescent="0.25">
      <c r="A37" s="47"/>
      <c r="B37" s="47" t="s">
        <v>30</v>
      </c>
      <c r="C37" s="47" t="s">
        <v>92</v>
      </c>
      <c r="D37" s="129">
        <f>Model!D25/Model!D81</f>
        <v>3.2082620386213623E-2</v>
      </c>
      <c r="E37" s="129">
        <f>Model!E25/Model!E81</f>
        <v>4.7188929419257751E-2</v>
      </c>
      <c r="F37" s="129">
        <f>Model!F25/Model!F81</f>
        <v>4.1178497587870462E-2</v>
      </c>
      <c r="G37" s="129">
        <f>Model!G25/Model!G81</f>
        <v>4.6117227015769091E-2</v>
      </c>
      <c r="H37" s="129">
        <f>Model!H25/Model!H81</f>
        <v>5.9809060277049755E-2</v>
      </c>
      <c r="I37" s="136">
        <f>Model!I25/Model!I81</f>
        <v>5.3386382612548272E-2</v>
      </c>
      <c r="J37" s="136">
        <f>Model!J25/Model!J81</f>
        <v>6.8740077583243506E-2</v>
      </c>
      <c r="K37" s="136">
        <f>Model!K25/Model!K81</f>
        <v>6.8736072781228716E-2</v>
      </c>
      <c r="L37" s="136">
        <f>Model!L25/Model!L81</f>
        <v>6.8735823764768333E-2</v>
      </c>
      <c r="M37" s="136">
        <f>Model!M25/Model!M81</f>
        <v>6.8406098153670727E-2</v>
      </c>
      <c r="N37" s="146">
        <f t="shared" si="0"/>
        <v>4.5275266937232141E-2</v>
      </c>
      <c r="O37" s="147">
        <f>'Industry Ratios'!I45</f>
        <v>2.9259999999999998E-2</v>
      </c>
    </row>
    <row r="38" spans="1:15" x14ac:dyDescent="0.25">
      <c r="A38" s="47"/>
      <c r="B38" s="47" t="s">
        <v>115</v>
      </c>
      <c r="C38" s="47" t="s">
        <v>92</v>
      </c>
      <c r="D38" s="129">
        <f>Model!D25/(Model!D93+Model!D88)</f>
        <v>4.0493636714230598E-2</v>
      </c>
      <c r="E38" s="129">
        <f>Model!E25/(Model!E93+Model!E88)</f>
        <v>6.0789140001491798E-2</v>
      </c>
      <c r="F38" s="129">
        <f>Model!F25/(Model!F93+Model!F88)</f>
        <v>5.2550571679859312E-2</v>
      </c>
      <c r="G38" s="129">
        <f>Model!G25/(Model!G93+Model!G88)</f>
        <v>6.5705807545570108E-2</v>
      </c>
      <c r="H38" s="129">
        <f>Model!H25/(Model!H93+Model!H88)</f>
        <v>8.49621061029118E-2</v>
      </c>
      <c r="I38" s="136">
        <f>Model!I25/(Model!I93+Model!I88)</f>
        <v>7.2672828348227067E-2</v>
      </c>
      <c r="J38" s="136">
        <f>Model!J25/(Model!J93+Model!J88)</f>
        <v>9.1777117413515866E-2</v>
      </c>
      <c r="K38" s="136">
        <f>Model!K25/(Model!K93+Model!K88)</f>
        <v>9.0085816756037787E-2</v>
      </c>
      <c r="L38" s="136">
        <f>Model!L25/(Model!L93+Model!L88)</f>
        <v>8.8500523649306065E-2</v>
      </c>
      <c r="M38" s="136">
        <f>Model!M25/(Model!M93+Model!M88)</f>
        <v>8.7012462660279677E-2</v>
      </c>
      <c r="N38" s="146">
        <f t="shared" si="0"/>
        <v>6.0900252408812715E-2</v>
      </c>
      <c r="O38" s="145"/>
    </row>
    <row r="39" spans="1:15" x14ac:dyDescent="0.25">
      <c r="A39" s="47"/>
      <c r="B39" s="47"/>
      <c r="C39" s="47"/>
      <c r="D39" s="128"/>
      <c r="E39" s="128"/>
      <c r="F39" s="128"/>
      <c r="G39" s="128"/>
      <c r="H39" s="128"/>
      <c r="I39" s="135"/>
      <c r="J39" s="135"/>
      <c r="K39" s="135"/>
      <c r="L39" s="135"/>
      <c r="M39" s="135"/>
      <c r="N39" s="143"/>
      <c r="O39" s="145"/>
    </row>
    <row r="40" spans="1:15" x14ac:dyDescent="0.25">
      <c r="A40" s="50" t="str">
        <f>'Industry Ratios'!A25</f>
        <v>Leverage</v>
      </c>
      <c r="B40" s="47"/>
      <c r="C40" s="47"/>
      <c r="D40" s="128"/>
      <c r="E40" s="128"/>
      <c r="F40" s="128"/>
      <c r="G40" s="128"/>
      <c r="H40" s="128"/>
      <c r="I40" s="135"/>
      <c r="J40" s="135"/>
      <c r="K40" s="135"/>
      <c r="L40" s="135"/>
      <c r="M40" s="135"/>
      <c r="N40" s="143"/>
      <c r="O40" s="145"/>
    </row>
    <row r="41" spans="1:15" x14ac:dyDescent="0.25">
      <c r="A41" s="47"/>
      <c r="B41" s="47" t="s">
        <v>113</v>
      </c>
      <c r="C41" s="47" t="s">
        <v>103</v>
      </c>
      <c r="D41" s="128">
        <f>Model!D19/Model!D21</f>
        <v>7.5937499999999973</v>
      </c>
      <c r="E41" s="128">
        <f>Model!E19/Model!E21</f>
        <v>31.166666666666679</v>
      </c>
      <c r="F41" s="128">
        <f>Model!F19/Model!F21</f>
        <v>5.8823529411764728</v>
      </c>
      <c r="G41" s="128">
        <f>Model!G19/Model!G21</f>
        <v>50.999999999999979</v>
      </c>
      <c r="H41" s="128">
        <f>Model!H19/Model!H21</f>
        <v>63.588235294117631</v>
      </c>
      <c r="I41" s="135">
        <f>Model!I19/Model!I21</f>
        <v>63.898317631224764</v>
      </c>
      <c r="J41" s="135">
        <f>Model!J19/Model!J21</f>
        <v>84.355170928667576</v>
      </c>
      <c r="K41" s="135">
        <f>Model!K19/Model!K21</f>
        <v>86.436635693135926</v>
      </c>
      <c r="L41" s="135">
        <f>Model!L19/Model!L21</f>
        <v>88.576052496904467</v>
      </c>
      <c r="M41" s="135">
        <f>Model!M19/Model!M21</f>
        <v>90.775114982115781</v>
      </c>
      <c r="N41" s="143">
        <f t="shared" si="0"/>
        <v>31.846200980392148</v>
      </c>
      <c r="O41" s="145">
        <f>'Industry Ratios'!I26</f>
        <v>11.88</v>
      </c>
    </row>
    <row r="42" spans="1:15" x14ac:dyDescent="0.25">
      <c r="A42" s="47"/>
      <c r="B42" s="47" t="s">
        <v>114</v>
      </c>
      <c r="C42" s="47" t="s">
        <v>103</v>
      </c>
      <c r="D42" s="128">
        <f>(Model!D19+Model!D18)/Model!D21</f>
        <v>12.109374999999996</v>
      </c>
      <c r="E42" s="128">
        <f>(Model!E19+Model!E18)/Model!E21</f>
        <v>46.055555555555564</v>
      </c>
      <c r="F42" s="128">
        <f>(Model!F19+Model!F18)/Model!F21</f>
        <v>8.7860962566844947</v>
      </c>
      <c r="G42" s="128">
        <f>(Model!G19+Model!G18)/Model!G21</f>
        <v>67.09677419354837</v>
      </c>
      <c r="H42" s="128">
        <f>(Model!H19+Model!H18)/Model!H21</f>
        <v>79.411764705882334</v>
      </c>
      <c r="I42" s="135">
        <f>(Model!I19+Model!I18)/Model!I21</f>
        <v>82.733781965006727</v>
      </c>
      <c r="J42" s="135">
        <f>(Model!J19+Model!J18)/Model!J21</f>
        <v>103.67147072678333</v>
      </c>
      <c r="K42" s="135">
        <f>(Model!K19+Model!K18)/Model!K21</f>
        <v>106.24463439939434</v>
      </c>
      <c r="L42" s="135">
        <f>(Model!L19+Model!L18)/Model!L21</f>
        <v>108.88705340567802</v>
      </c>
      <c r="M42" s="135">
        <f>(Model!M19+Model!M18)/Model!M21</f>
        <v>111.60086734734017</v>
      </c>
      <c r="N42" s="143">
        <f t="shared" si="0"/>
        <v>42.691913142334144</v>
      </c>
      <c r="O42" s="145">
        <f>'Industry Ratios'!I27</f>
        <v>19.919999999999998</v>
      </c>
    </row>
    <row r="43" spans="1:15" x14ac:dyDescent="0.25">
      <c r="A43" s="47"/>
      <c r="B43" s="47" t="str">
        <f>'Industry Ratios'!B28</f>
        <v>Long-Term Debt / Common Equity</v>
      </c>
      <c r="C43" s="47" t="s">
        <v>103</v>
      </c>
      <c r="D43" s="131">
        <f>Model!D88/Model!D93</f>
        <v>2.4820172318393802E-2</v>
      </c>
      <c r="E43" s="131">
        <f>Model!E88/Model!E93</f>
        <v>2.0319634703196348E-2</v>
      </c>
      <c r="F43" s="131">
        <f>Model!F88/Model!F93</f>
        <v>1.6237151795024579E-2</v>
      </c>
      <c r="G43" s="131">
        <f>Model!G88/Model!G93</f>
        <v>2.5800840701550948E-2</v>
      </c>
      <c r="H43" s="131">
        <f>Model!H88/Model!H93</f>
        <v>5.1226500803689977E-2</v>
      </c>
      <c r="I43" s="138">
        <f>Model!I88/Model!I93</f>
        <v>4.9390378147205864E-2</v>
      </c>
      <c r="J43" s="138">
        <f>Model!J88/Model!J93</f>
        <v>4.7159440488184816E-2</v>
      </c>
      <c r="K43" s="138">
        <f>Model!K88/Model!K93</f>
        <v>4.5072695287978366E-2</v>
      </c>
      <c r="L43" s="138">
        <f>Model!L88/Model!L93</f>
        <v>4.3117049165767495E-2</v>
      </c>
      <c r="M43" s="138">
        <f>Model!M88/Model!M93</f>
        <v>4.1280949412312515E-2</v>
      </c>
      <c r="N43" s="149">
        <f t="shared" si="0"/>
        <v>2.7680860064371132E-2</v>
      </c>
      <c r="O43" s="150">
        <f>'Industry Ratios'!I28</f>
        <v>1.8800000000000001</v>
      </c>
    </row>
    <row r="44" spans="1:15" x14ac:dyDescent="0.25">
      <c r="A44" s="47"/>
      <c r="B44" s="47" t="str">
        <f>'Industry Ratios'!B29</f>
        <v>Total Debt / Total Assets</v>
      </c>
      <c r="C44" s="47" t="s">
        <v>103</v>
      </c>
      <c r="D44" s="131">
        <f>(Model!D90/Model!D81)</f>
        <v>0.22690051332192621</v>
      </c>
      <c r="E44" s="131">
        <f>(Model!E90/Model!E81)</f>
        <v>0.23918707660239708</v>
      </c>
      <c r="F44" s="131">
        <f>(Model!F90/Model!F81)</f>
        <v>0.22892258212726843</v>
      </c>
      <c r="G44" s="131">
        <f>(Model!G90/Model!G81)</f>
        <v>0.31577903401765328</v>
      </c>
      <c r="H44" s="131">
        <f>(Model!H90/Model!H81)</f>
        <v>0.33035380007487836</v>
      </c>
      <c r="I44" s="138">
        <f>(Model!I90/Model!I81)</f>
        <v>0.29996242124100819</v>
      </c>
      <c r="J44" s="138">
        <f>(Model!J90/Model!J81)</f>
        <v>0.28474188705864756</v>
      </c>
      <c r="K44" s="138">
        <f>(Model!K90/Model!K81)</f>
        <v>0.2699009324680946</v>
      </c>
      <c r="L44" s="138">
        <f>(Model!L90/Model!L81)</f>
        <v>0.2554321877441092</v>
      </c>
      <c r="M44" s="138">
        <f>(Model!M90/Model!M81)</f>
        <v>0.24500263499482203</v>
      </c>
      <c r="N44" s="149">
        <f t="shared" si="0"/>
        <v>0.26822860122882475</v>
      </c>
      <c r="O44" s="150">
        <f>'Industry Ratios'!I29</f>
        <v>0.92556851655473071</v>
      </c>
    </row>
    <row r="45" spans="1:15" x14ac:dyDescent="0.25">
      <c r="A45" s="47"/>
      <c r="B45" s="47" t="str">
        <f>'Industry Ratios'!B30</f>
        <v>Total Assets / Common Equity (Equity Mulitplier)</v>
      </c>
      <c r="C45" s="47" t="s">
        <v>103</v>
      </c>
      <c r="D45" s="131">
        <f>Model!D81/Model!D93</f>
        <v>1.293494585408268</v>
      </c>
      <c r="E45" s="131">
        <f>Model!E81/Model!E93</f>
        <v>1.3143835616438355</v>
      </c>
      <c r="F45" s="131">
        <f>Model!F81/Model!F93</f>
        <v>1.2968866378668253</v>
      </c>
      <c r="G45" s="131">
        <f>Model!G81/Model!G93</f>
        <v>1.461516161762574</v>
      </c>
      <c r="H45" s="131">
        <f>Model!H81/Model!H93</f>
        <v>1.4933258788175274</v>
      </c>
      <c r="I45" s="138">
        <f>Model!I81/Model!I93</f>
        <v>1.4284947413434199</v>
      </c>
      <c r="J45" s="138">
        <f>Model!J81/Model!J93</f>
        <v>1.3980966897218474</v>
      </c>
      <c r="K45" s="138">
        <f>Model!K81/Model!K93</f>
        <v>1.3696771362556217</v>
      </c>
      <c r="L45" s="138">
        <f>Model!L81/Model!L93</f>
        <v>1.3430610127641713</v>
      </c>
      <c r="M45" s="138">
        <f>Model!M81/Model!M93</f>
        <v>1.3245079338695993</v>
      </c>
      <c r="N45" s="143">
        <f t="shared" si="0"/>
        <v>1.3719213650998061</v>
      </c>
      <c r="O45" s="145">
        <f>'Industry Ratios'!I30</f>
        <v>3.28</v>
      </c>
    </row>
    <row r="46" spans="1:15" x14ac:dyDescent="0.25">
      <c r="A46" s="47"/>
      <c r="B46" s="47"/>
      <c r="C46" s="47"/>
      <c r="D46" s="128"/>
      <c r="E46" s="128"/>
      <c r="F46" s="128"/>
      <c r="G46" s="128"/>
      <c r="H46" s="128"/>
      <c r="I46" s="135"/>
      <c r="J46" s="135"/>
      <c r="K46" s="135"/>
      <c r="L46" s="135"/>
      <c r="M46" s="135"/>
      <c r="N46" s="143"/>
      <c r="O46" s="145"/>
    </row>
    <row r="47" spans="1:15" x14ac:dyDescent="0.25">
      <c r="A47" s="50" t="str">
        <f>'Industry Ratios'!A32</f>
        <v>Dividends</v>
      </c>
      <c r="B47" s="47"/>
      <c r="C47" s="47"/>
      <c r="D47" s="128"/>
      <c r="E47" s="128"/>
      <c r="F47" s="128"/>
      <c r="G47" s="128"/>
      <c r="H47" s="128"/>
      <c r="I47" s="135"/>
      <c r="J47" s="135"/>
      <c r="K47" s="135"/>
      <c r="L47" s="135"/>
      <c r="M47" s="135"/>
      <c r="N47" s="143"/>
      <c r="O47" s="145"/>
    </row>
    <row r="48" spans="1:15" x14ac:dyDescent="0.25">
      <c r="A48" s="47"/>
      <c r="B48" s="47" t="s">
        <v>118</v>
      </c>
      <c r="C48" s="47" t="s">
        <v>81</v>
      </c>
      <c r="D48" s="130">
        <f>Model!D27/Model!D211</f>
        <v>2.1100000000000003</v>
      </c>
      <c r="E48" s="130">
        <f>Model!E27/Model!E211</f>
        <v>3.2600000000000002</v>
      </c>
      <c r="F48" s="130">
        <f>Model!F27/Model!F211</f>
        <v>4.3100000000000005</v>
      </c>
      <c r="G48" s="130">
        <f>Model!G27/Model!G211</f>
        <v>5.58</v>
      </c>
      <c r="H48" s="130">
        <f>Model!H27/Model!H211</f>
        <v>7.67</v>
      </c>
      <c r="I48" s="137">
        <f>Model!I27/Model!I211</f>
        <v>5.9985548399999988</v>
      </c>
      <c r="J48" s="137">
        <f>Model!J27/Model!J211</f>
        <v>7.9169595455999993</v>
      </c>
      <c r="K48" s="137">
        <f>Model!K27/Model!K211</f>
        <v>8.1146396104320004</v>
      </c>
      <c r="L48" s="137">
        <f>Model!L27/Model!L211</f>
        <v>8.3178234371136011</v>
      </c>
      <c r="M48" s="137">
        <f>Model!M27/Model!M211</f>
        <v>8.5266718720993371</v>
      </c>
      <c r="N48" s="143"/>
      <c r="O48" s="145"/>
    </row>
    <row r="49" spans="1:15" x14ac:dyDescent="0.25">
      <c r="A49" s="47"/>
      <c r="B49" s="47" t="str">
        <f>'Industry Ratios'!B33</f>
        <v>Dividend Payout</v>
      </c>
      <c r="C49" s="47" t="s">
        <v>92</v>
      </c>
      <c r="D49" s="129">
        <f>Model!D27/Model!D25</f>
        <v>0.40190476190476215</v>
      </c>
      <c r="E49" s="129">
        <f>Model!E27/Model!E25</f>
        <v>0.39999999999999974</v>
      </c>
      <c r="F49" s="129">
        <f>Model!F27/Model!F25</f>
        <v>0.60111576011157564</v>
      </c>
      <c r="G49" s="129">
        <f>Model!G27/Model!G25</f>
        <v>0.60000000000000031</v>
      </c>
      <c r="H49" s="129">
        <f>Model!H27/Model!H25</f>
        <v>0.60015649452269204</v>
      </c>
      <c r="I49" s="136">
        <f>Model!I27/Model!I25</f>
        <v>0.53</v>
      </c>
      <c r="J49" s="136">
        <f>Model!J27/Model!J25</f>
        <v>0.53</v>
      </c>
      <c r="K49" s="136">
        <f>Model!K27/Model!K25</f>
        <v>0.53</v>
      </c>
      <c r="L49" s="136">
        <f>Model!L27/Model!L25</f>
        <v>0.53</v>
      </c>
      <c r="M49" s="136">
        <f>Model!M27/Model!M25</f>
        <v>0.53</v>
      </c>
      <c r="N49" s="146">
        <f t="shared" si="0"/>
        <v>0.520635403307806</v>
      </c>
      <c r="O49" s="147">
        <f>'Industry Ratios'!I33</f>
        <v>0.11739999999999999</v>
      </c>
    </row>
    <row r="50" spans="1:15" x14ac:dyDescent="0.25">
      <c r="A50" s="47"/>
      <c r="B50" s="47"/>
      <c r="C50" s="47"/>
      <c r="D50" s="128"/>
      <c r="E50" s="128"/>
      <c r="F50" s="128"/>
      <c r="G50" s="128"/>
      <c r="H50" s="128"/>
      <c r="I50" s="135"/>
      <c r="J50" s="135"/>
      <c r="K50" s="135"/>
      <c r="L50" s="135"/>
      <c r="M50" s="135"/>
      <c r="N50" s="143"/>
      <c r="O50" s="145"/>
    </row>
    <row r="51" spans="1:15" x14ac:dyDescent="0.25">
      <c r="A51" s="50" t="str">
        <f>'Industry Ratios'!A35</f>
        <v>Marktet Ratios</v>
      </c>
      <c r="B51" s="47"/>
      <c r="C51" s="47"/>
      <c r="D51" s="128"/>
      <c r="E51" s="128"/>
      <c r="F51" s="128"/>
      <c r="G51" s="128"/>
      <c r="H51" s="128"/>
      <c r="I51" s="135"/>
      <c r="J51" s="135"/>
      <c r="K51" s="135"/>
      <c r="L51" s="135"/>
      <c r="M51" s="135"/>
      <c r="N51" s="143"/>
      <c r="O51" s="145"/>
    </row>
    <row r="52" spans="1:15" x14ac:dyDescent="0.25">
      <c r="A52" s="47"/>
      <c r="B52" s="47" t="str">
        <f>'Industry Ratios'!B36</f>
        <v>Dividend Yield</v>
      </c>
      <c r="C52" s="47" t="s">
        <v>92</v>
      </c>
      <c r="D52" s="39">
        <f>D48/Model!D205</f>
        <v>1.7554076539101501E-2</v>
      </c>
      <c r="E52" s="39">
        <f>E48/Model!E205</f>
        <v>2.7234753550543025E-2</v>
      </c>
      <c r="F52" s="39">
        <f>F48/Model!F205</f>
        <v>3.3790670325362607E-2</v>
      </c>
      <c r="G52" s="39">
        <f>G48/Model!G205</f>
        <v>4.2660550458715592E-2</v>
      </c>
      <c r="H52" s="39">
        <f>H48/Model!H205</f>
        <v>4.9213987808790507E-2</v>
      </c>
      <c r="I52" s="113">
        <f>I48/Model!I205</f>
        <v>4.4166666666666667E-2</v>
      </c>
      <c r="J52" s="113">
        <f>J48/Model!J205</f>
        <v>4.416666666666666E-2</v>
      </c>
      <c r="K52" s="113">
        <f>K48/Model!K205</f>
        <v>4.4166666666666674E-2</v>
      </c>
      <c r="L52" s="113">
        <f>L48/Model!L205</f>
        <v>4.416666666666666E-2</v>
      </c>
      <c r="M52" s="113">
        <f>M48/Model!M205</f>
        <v>4.4166666666666674E-2</v>
      </c>
      <c r="N52" s="146">
        <f>AVERAGE(D52:H52)</f>
        <v>3.4090807736502651E-2</v>
      </c>
      <c r="O52" s="147">
        <f>'Industry Ratios'!I36</f>
        <v>2.2399999999999996E-2</v>
      </c>
    </row>
    <row r="53" spans="1:15" x14ac:dyDescent="0.25">
      <c r="A53" s="47"/>
      <c r="B53" s="47" t="str">
        <f>'Industry Ratios'!B37</f>
        <v>Price/Earnings</v>
      </c>
      <c r="C53" s="47" t="s">
        <v>103</v>
      </c>
      <c r="D53" s="128">
        <f>Model!D205/Ratios!D32</f>
        <v>22.895238095238106</v>
      </c>
      <c r="E53" s="128">
        <f>Model!E205/Ratios!E32</f>
        <v>14.687116564417169</v>
      </c>
      <c r="F53" s="128">
        <f>Model!F205/Ratios!F32</f>
        <v>17.789400278940018</v>
      </c>
      <c r="G53" s="128">
        <f>Model!G205/Ratios!G32</f>
        <v>14.064516129032269</v>
      </c>
      <c r="H53" s="128">
        <f>Model!H205/Ratios!H32</f>
        <v>12.194835680751181</v>
      </c>
      <c r="I53" s="135">
        <f>Model!I205/Ratios!I32</f>
        <v>12</v>
      </c>
      <c r="J53" s="135">
        <f>Model!J205/Ratios!J32</f>
        <v>12.000000000000002</v>
      </c>
      <c r="K53" s="135">
        <f>Model!K205/Ratios!K32</f>
        <v>12</v>
      </c>
      <c r="L53" s="135">
        <f>Model!L205/Ratios!L32</f>
        <v>12.000000000000002</v>
      </c>
      <c r="M53" s="135">
        <f>Model!M205/Ratios!M32</f>
        <v>12</v>
      </c>
      <c r="N53" s="149">
        <f>AVERAGE(D53:H53)</f>
        <v>16.326221349675748</v>
      </c>
      <c r="O53" s="150">
        <f>'Industry Ratios'!I37</f>
        <v>19.96</v>
      </c>
    </row>
    <row r="54" spans="1:15" x14ac:dyDescent="0.25">
      <c r="A54" s="47"/>
      <c r="B54" s="47" t="str">
        <f>'Industry Ratios'!B38</f>
        <v>Price/Book</v>
      </c>
      <c r="C54" s="47" t="s">
        <v>103</v>
      </c>
      <c r="D54" s="128">
        <f>Model!D205/(Model!D93/Model!D30)</f>
        <v>0.95012251995889663</v>
      </c>
      <c r="E54" s="128">
        <f>Model!E205/(Model!E93/Model!E30)</f>
        <v>0.91095890410958902</v>
      </c>
      <c r="F54" s="128">
        <f>Model!F205/(Model!F93/Model!F30)</f>
        <v>0.95002234470430491</v>
      </c>
      <c r="G54" s="128">
        <f>Model!G205/(Model!G93/Model!G30)</f>
        <v>0.9479634729670966</v>
      </c>
      <c r="H54" s="128">
        <f>Model!H205/(Model!H93/Model!H30)</f>
        <v>1.089174645328115</v>
      </c>
      <c r="I54" s="135">
        <f>Model!I205/(Model!I93/Model!I30)</f>
        <v>0.91514600185647588</v>
      </c>
      <c r="J54" s="135">
        <f>Model!J205/(Model!J93/Model!J30)</f>
        <v>1.1532632990442688</v>
      </c>
      <c r="K54" s="135">
        <f>Model!K205/(Model!K93/Model!K30)</f>
        <v>1.1297547278934161</v>
      </c>
      <c r="L54" s="135">
        <f>Model!L205/(Model!L93/Model!L30)</f>
        <v>1.1077968609442725</v>
      </c>
      <c r="M54" s="135">
        <f>Model!M205/(Model!M93/Model!M30)</f>
        <v>1.0872530367551929</v>
      </c>
      <c r="N54" s="149">
        <f>AVERAGE(D54:H54)</f>
        <v>0.96964837741360044</v>
      </c>
      <c r="O54" s="150">
        <f>'Industry Ratios'!I38</f>
        <v>1.54</v>
      </c>
    </row>
    <row r="55" spans="1:15" x14ac:dyDescent="0.25">
      <c r="A55" s="47"/>
      <c r="B55" s="47"/>
      <c r="C55" s="47"/>
      <c r="D55" s="128"/>
      <c r="E55" s="128"/>
      <c r="F55" s="128"/>
      <c r="G55" s="128"/>
      <c r="H55" s="128"/>
      <c r="I55" s="135"/>
      <c r="J55" s="135"/>
      <c r="K55" s="135"/>
      <c r="L55" s="135"/>
      <c r="M55" s="135"/>
      <c r="N55" s="143"/>
      <c r="O55" s="145"/>
    </row>
    <row r="56" spans="1:15" x14ac:dyDescent="0.25">
      <c r="A56" s="50" t="str">
        <f>'Industry Ratios'!A40</f>
        <v>DuPont Analysis</v>
      </c>
      <c r="B56" s="47"/>
      <c r="C56" s="47"/>
      <c r="D56" s="128"/>
      <c r="E56" s="128"/>
      <c r="F56" s="128"/>
      <c r="G56" s="128"/>
      <c r="H56" s="128"/>
      <c r="I56" s="135"/>
      <c r="J56" s="135"/>
      <c r="K56" s="135"/>
      <c r="L56" s="135"/>
      <c r="M56" s="135"/>
      <c r="N56" s="143"/>
      <c r="O56" s="145"/>
    </row>
    <row r="57" spans="1:15" x14ac:dyDescent="0.25">
      <c r="A57" s="47"/>
      <c r="B57" s="47" t="str">
        <f>'Industry Ratios'!B41</f>
        <v>Net Profit Margin (NI/S)</v>
      </c>
      <c r="C57" s="47" t="s">
        <v>92</v>
      </c>
      <c r="D57" s="39">
        <f t="shared" ref="D57:M57" si="7">D35</f>
        <v>7.0140280561122204E-2</v>
      </c>
      <c r="E57" s="39">
        <f t="shared" si="7"/>
        <v>0.10282614181175884</v>
      </c>
      <c r="F57" s="39">
        <f t="shared" si="7"/>
        <v>8.9602599350162515E-2</v>
      </c>
      <c r="G57" s="39">
        <f t="shared" si="7"/>
        <v>9.8516949152542319E-2</v>
      </c>
      <c r="H57" s="39">
        <f t="shared" si="7"/>
        <v>0.12779999999999991</v>
      </c>
      <c r="I57" s="113">
        <f t="shared" si="7"/>
        <v>0.11047151836957793</v>
      </c>
      <c r="J57" s="113">
        <f t="shared" si="7"/>
        <v>0.14230126258334597</v>
      </c>
      <c r="K57" s="113">
        <f t="shared" si="7"/>
        <v>0.14234216895671653</v>
      </c>
      <c r="L57" s="113">
        <f t="shared" si="7"/>
        <v>0.14238221069708509</v>
      </c>
      <c r="M57" s="113">
        <f t="shared" si="7"/>
        <v>0.1424214017018382</v>
      </c>
      <c r="N57" s="146">
        <f>AVERAGE(D57:H57)</f>
        <v>9.7777194175117155E-2</v>
      </c>
      <c r="O57" s="147">
        <f>O35</f>
        <v>2.3799999999999998E-2</v>
      </c>
    </row>
    <row r="58" spans="1:15" x14ac:dyDescent="0.25">
      <c r="A58" s="47"/>
      <c r="B58" s="47" t="str">
        <f>'Industry Ratios'!B42</f>
        <v>Asset Turnover  (S/A)</v>
      </c>
      <c r="C58" s="47" t="s">
        <v>103</v>
      </c>
      <c r="D58" s="132">
        <f t="shared" ref="D58:M58" si="8">D29</f>
        <v>0.45740650207773165</v>
      </c>
      <c r="E58" s="132">
        <f t="shared" si="8"/>
        <v>0.45891957616814316</v>
      </c>
      <c r="F58" s="132">
        <f t="shared" si="8"/>
        <v>0.45956811394440622</v>
      </c>
      <c r="G58" s="132">
        <f t="shared" si="8"/>
        <v>0.46811464841812955</v>
      </c>
      <c r="H58" s="132">
        <f t="shared" si="8"/>
        <v>0.46798951703481839</v>
      </c>
      <c r="I58" s="139">
        <f t="shared" si="8"/>
        <v>0.48325924546403282</v>
      </c>
      <c r="J58" s="139">
        <f t="shared" si="8"/>
        <v>0.48306020856970533</v>
      </c>
      <c r="K58" s="139">
        <f t="shared" si="8"/>
        <v>0.48289325141680267</v>
      </c>
      <c r="L58" s="139">
        <f t="shared" si="8"/>
        <v>0.48275569980439642</v>
      </c>
      <c r="M58" s="139">
        <f t="shared" si="8"/>
        <v>0.4803077159490407</v>
      </c>
      <c r="N58" s="149">
        <f>AVERAGE(D58:H58)</f>
        <v>0.46239967152864586</v>
      </c>
      <c r="O58" s="145">
        <f>O29</f>
        <v>1.1800000000000002</v>
      </c>
    </row>
    <row r="59" spans="1:15" x14ac:dyDescent="0.25">
      <c r="A59" s="47"/>
      <c r="B59" s="47" t="str">
        <f>'Industry Ratios'!B43</f>
        <v>Equity Multiplier (A/E)</v>
      </c>
      <c r="C59" s="47" t="s">
        <v>103</v>
      </c>
      <c r="D59" s="133">
        <f>D45</f>
        <v>1.293494585408268</v>
      </c>
      <c r="E59" s="133">
        <f t="shared" ref="E59:M59" si="9">E45</f>
        <v>1.3143835616438355</v>
      </c>
      <c r="F59" s="133">
        <f t="shared" si="9"/>
        <v>1.2968866378668253</v>
      </c>
      <c r="G59" s="133">
        <f t="shared" si="9"/>
        <v>1.461516161762574</v>
      </c>
      <c r="H59" s="133">
        <f t="shared" si="9"/>
        <v>1.4933258788175274</v>
      </c>
      <c r="I59" s="140">
        <f t="shared" si="9"/>
        <v>1.4284947413434199</v>
      </c>
      <c r="J59" s="140">
        <f t="shared" si="9"/>
        <v>1.3980966897218474</v>
      </c>
      <c r="K59" s="140">
        <f t="shared" si="9"/>
        <v>1.3696771362556217</v>
      </c>
      <c r="L59" s="140">
        <f t="shared" si="9"/>
        <v>1.3430610127641713</v>
      </c>
      <c r="M59" s="140">
        <f t="shared" si="9"/>
        <v>1.3245079338695993</v>
      </c>
      <c r="N59" s="149">
        <f>AVERAGE(D59:H59)</f>
        <v>1.3719213650998061</v>
      </c>
      <c r="O59" s="145">
        <f>O45</f>
        <v>3.28</v>
      </c>
    </row>
    <row r="60" spans="1:15" x14ac:dyDescent="0.25">
      <c r="A60" s="47"/>
      <c r="B60" s="47" t="str">
        <f>'Industry Ratios'!B44</f>
        <v>Return on Equity</v>
      </c>
      <c r="C60" s="47" t="s">
        <v>92</v>
      </c>
      <c r="D60" s="39">
        <f>PRODUCT(D57:D59)</f>
        <v>4.1498695755276239E-2</v>
      </c>
      <c r="E60" s="39">
        <f t="shared" ref="E60:M60" si="10">PRODUCT(E57:E59)</f>
        <v>6.2024353120243576E-2</v>
      </c>
      <c r="F60" s="39">
        <f t="shared" si="10"/>
        <v>5.3403843289140503E-2</v>
      </c>
      <c r="G60" s="39">
        <f t="shared" si="10"/>
        <v>6.7401072619220126E-2</v>
      </c>
      <c r="H60" s="39">
        <f t="shared" si="10"/>
        <v>8.9314417499475787E-2</v>
      </c>
      <c r="I60" s="113">
        <f t="shared" si="10"/>
        <v>7.626216682137299E-2</v>
      </c>
      <c r="J60" s="113">
        <f t="shared" si="10"/>
        <v>9.6105274920355713E-2</v>
      </c>
      <c r="K60" s="113">
        <f t="shared" si="10"/>
        <v>9.414622732445134E-2</v>
      </c>
      <c r="L60" s="113">
        <f t="shared" si="10"/>
        <v>9.2316405078689351E-2</v>
      </c>
      <c r="M60" s="113">
        <f t="shared" si="10"/>
        <v>9.0604419729599428E-2</v>
      </c>
      <c r="N60" s="146">
        <f>AVERAGE(D60:H60)</f>
        <v>6.2728476456671248E-2</v>
      </c>
      <c r="O60" s="147">
        <f>O36</f>
        <v>0.10897799999999999</v>
      </c>
    </row>
    <row r="61" spans="1:15" x14ac:dyDescent="0.25">
      <c r="A61" s="47"/>
      <c r="B61" s="47" t="str">
        <f>'Industry Ratios'!B45</f>
        <v>Return on Assets</v>
      </c>
      <c r="C61" s="47" t="s">
        <v>92</v>
      </c>
      <c r="D61" s="39">
        <f t="shared" ref="D61:M61" si="11">D57*D58</f>
        <v>3.2082620386213623E-2</v>
      </c>
      <c r="E61" s="39">
        <f t="shared" si="11"/>
        <v>4.7188929419257751E-2</v>
      </c>
      <c r="F61" s="39">
        <f t="shared" si="11"/>
        <v>4.1178497587870462E-2</v>
      </c>
      <c r="G61" s="39">
        <f t="shared" si="11"/>
        <v>4.6117227015769091E-2</v>
      </c>
      <c r="H61" s="39">
        <f t="shared" si="11"/>
        <v>5.9809060277049748E-2</v>
      </c>
      <c r="I61" s="113">
        <f t="shared" si="11"/>
        <v>5.3386382612548272E-2</v>
      </c>
      <c r="J61" s="113">
        <f t="shared" si="11"/>
        <v>6.8740077583243506E-2</v>
      </c>
      <c r="K61" s="113">
        <f t="shared" si="11"/>
        <v>6.8736072781228716E-2</v>
      </c>
      <c r="L61" s="113">
        <f t="shared" si="11"/>
        <v>6.8735823764768333E-2</v>
      </c>
      <c r="M61" s="113">
        <f t="shared" si="11"/>
        <v>6.8406098153670727E-2</v>
      </c>
      <c r="N61" s="146">
        <f>AVERAGE(D61:H61)</f>
        <v>4.5275266937232134E-2</v>
      </c>
      <c r="O61" s="147">
        <f>O37</f>
        <v>2.9259999999999998E-2</v>
      </c>
    </row>
    <row r="62" spans="1:15" x14ac:dyDescent="0.25">
      <c r="A62" s="47"/>
      <c r="B62" s="47"/>
      <c r="C62" s="47"/>
      <c r="D62" s="24"/>
      <c r="E62" s="24"/>
      <c r="F62" s="24"/>
      <c r="G62" s="24"/>
      <c r="H62" s="24"/>
      <c r="I62" s="91"/>
      <c r="J62" s="91"/>
      <c r="K62" s="91"/>
      <c r="L62" s="91"/>
      <c r="M62" s="91"/>
      <c r="N62" s="142"/>
      <c r="O62" s="142"/>
    </row>
    <row r="63" spans="1:15" x14ac:dyDescent="0.25">
      <c r="A63" s="50" t="s">
        <v>394</v>
      </c>
      <c r="B63" s="47"/>
      <c r="C63" s="47"/>
      <c r="D63" s="24"/>
      <c r="E63" s="24"/>
      <c r="F63" s="24"/>
      <c r="G63" s="24"/>
      <c r="H63" s="24"/>
      <c r="I63" s="91"/>
      <c r="J63" s="91"/>
      <c r="K63" s="91"/>
      <c r="L63" s="91"/>
      <c r="M63" s="91"/>
      <c r="N63" s="142"/>
      <c r="O63" s="142"/>
    </row>
    <row r="64" spans="1:15" x14ac:dyDescent="0.25">
      <c r="A64" s="47"/>
      <c r="B64" s="55" t="s">
        <v>395</v>
      </c>
      <c r="C64" s="47" t="s">
        <v>92</v>
      </c>
      <c r="D64" s="24"/>
      <c r="E64" s="24"/>
      <c r="F64" s="24"/>
      <c r="G64" s="24"/>
      <c r="H64" s="31">
        <f>'FCFF-Valuation'!D63</f>
        <v>0.61074267581022779</v>
      </c>
      <c r="I64" s="102">
        <f>'FCFF-Valuation'!E63</f>
        <v>1.7531253384384524</v>
      </c>
      <c r="J64" s="102">
        <f>'FCFF-Valuation'!F63</f>
        <v>0.25793380696475843</v>
      </c>
      <c r="K64" s="102">
        <f>'FCFF-Valuation'!G63</f>
        <v>0.25789128074889467</v>
      </c>
      <c r="L64" s="102">
        <f>'FCFF-Valuation'!H63</f>
        <v>0.25789750228047736</v>
      </c>
      <c r="M64" s="102">
        <f>'FCFF-Valuation'!I63</f>
        <v>0.27777777777777779</v>
      </c>
      <c r="N64" s="142"/>
      <c r="O64" s="142"/>
    </row>
    <row r="65" spans="1:15" x14ac:dyDescent="0.25">
      <c r="A65" s="47"/>
      <c r="B65" s="55" t="s">
        <v>396</v>
      </c>
      <c r="C65" s="55" t="s">
        <v>92</v>
      </c>
      <c r="D65" s="24"/>
      <c r="E65" s="24"/>
      <c r="F65" s="24"/>
      <c r="G65" s="24"/>
      <c r="H65" s="31" t="s">
        <v>93</v>
      </c>
      <c r="I65" s="102">
        <f>'FCFF-Valuation'!E64</f>
        <v>8.4956367432150307E-2</v>
      </c>
      <c r="J65" s="102">
        <f>'FCFF-Valuation'!F64</f>
        <v>9.7616040608288296E-2</v>
      </c>
      <c r="K65" s="102">
        <f>'FCFF-Valuation'!G64</f>
        <v>9.756810128531232E-2</v>
      </c>
      <c r="L65" s="102">
        <f>'FCFF-Valuation'!H64</f>
        <v>9.752901461921433E-2</v>
      </c>
      <c r="M65" s="102">
        <f>'FCFF-Valuation'!I64</f>
        <v>9.7498032544259511E-2</v>
      </c>
      <c r="N65" s="142"/>
      <c r="O65" s="142"/>
    </row>
  </sheetData>
  <pageMargins left="0.75" right="0.75" top="1" bottom="1" header="0.5" footer="0.5"/>
  <ignoredErrors>
    <ignoredError sqref="N57:N59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29</vt:i4>
      </vt:variant>
    </vt:vector>
  </HeadingPairs>
  <TitlesOfParts>
    <vt:vector size="40" baseType="lpstr">
      <vt:lpstr>Control Panel</vt:lpstr>
      <vt:lpstr>Sensitivity</vt:lpstr>
      <vt:lpstr>Scenario</vt:lpstr>
      <vt:lpstr>Assumptions</vt:lpstr>
      <vt:lpstr>Model</vt:lpstr>
      <vt:lpstr>FCFE</vt:lpstr>
      <vt:lpstr>FCFE - Valuation</vt:lpstr>
      <vt:lpstr>FCFF-Valuation</vt:lpstr>
      <vt:lpstr>Industry Ratios</vt:lpstr>
      <vt:lpstr>Common Size FS</vt:lpstr>
      <vt:lpstr>Ratios</vt:lpstr>
      <vt:lpstr>ATurns</vt:lpstr>
      <vt:lpstr>BaseCaseInputs</vt:lpstr>
      <vt:lpstr>CapEx</vt:lpstr>
      <vt:lpstr>Case_Number</vt:lpstr>
      <vt:lpstr>Cases</vt:lpstr>
      <vt:lpstr>DPO</vt:lpstr>
      <vt:lpstr>DSO</vt:lpstr>
      <vt:lpstr>E_Value</vt:lpstr>
      <vt:lpstr>EM</vt:lpstr>
      <vt:lpstr>EP_Value</vt:lpstr>
      <vt:lpstr>GPM</vt:lpstr>
      <vt:lpstr>GRs</vt:lpstr>
      <vt:lpstr>IT</vt:lpstr>
      <vt:lpstr>K</vt:lpstr>
      <vt:lpstr>NPM</vt:lpstr>
      <vt:lpstr>Outputs</vt:lpstr>
      <vt:lpstr>OutputTable</vt:lpstr>
      <vt:lpstr>payout</vt:lpstr>
      <vt:lpstr>ROE</vt:lpstr>
      <vt:lpstr>ROIC</vt:lpstr>
      <vt:lpstr>ROICs</vt:lpstr>
      <vt:lpstr>Scenario</vt:lpstr>
      <vt:lpstr>SharePrice</vt:lpstr>
      <vt:lpstr>SVGf</vt:lpstr>
      <vt:lpstr>SVGr</vt:lpstr>
      <vt:lpstr>Table1</vt:lpstr>
      <vt:lpstr>Table2</vt:lpstr>
      <vt:lpstr>Table3</vt:lpstr>
      <vt:lpstr>WACCs</vt:lpstr>
    </vt:vector>
  </TitlesOfParts>
  <Company>Ryerson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Inglis</dc:creator>
  <cp:lastModifiedBy>Preston Niu</cp:lastModifiedBy>
  <cp:lastPrinted>2015-11-22T22:09:19Z</cp:lastPrinted>
  <dcterms:created xsi:type="dcterms:W3CDTF">2014-09-03T13:27:48Z</dcterms:created>
  <dcterms:modified xsi:type="dcterms:W3CDTF">2021-12-29T11:15:53Z</dcterms:modified>
</cp:coreProperties>
</file>